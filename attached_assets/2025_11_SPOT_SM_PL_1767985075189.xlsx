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CHACE_MAIN SERVER\_______TOOLS\_SALES ANALYSIS\"/>
    </mc:Choice>
  </mc:AlternateContent>
  <xr:revisionPtr revIDLastSave="0" documentId="13_ncr:1_{0427FDFC-9160-4B73-A24F-F107EF531C64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5" i="1" l="1"/>
  <c r="V153" i="1"/>
  <c r="T153" i="1"/>
  <c r="R153" i="1"/>
  <c r="P153" i="1"/>
  <c r="N153" i="1"/>
  <c r="L153" i="1"/>
  <c r="J153" i="1"/>
  <c r="H153" i="1"/>
  <c r="F153" i="1"/>
  <c r="D153" i="1"/>
  <c r="B153" i="1"/>
  <c r="X152" i="1"/>
  <c r="X151" i="1"/>
  <c r="X150" i="1"/>
  <c r="X148" i="1"/>
  <c r="X147" i="1"/>
  <c r="X144" i="1"/>
  <c r="V143" i="1"/>
  <c r="T143" i="1"/>
  <c r="R143" i="1"/>
  <c r="P143" i="1"/>
  <c r="N143" i="1"/>
  <c r="L143" i="1"/>
  <c r="J143" i="1"/>
  <c r="H143" i="1"/>
  <c r="F143" i="1"/>
  <c r="D143" i="1"/>
  <c r="B143" i="1"/>
  <c r="X142" i="1"/>
  <c r="T140" i="1"/>
  <c r="R140" i="1"/>
  <c r="J140" i="1"/>
  <c r="X139" i="1"/>
  <c r="X138" i="1"/>
  <c r="X137" i="1"/>
  <c r="X136" i="1"/>
  <c r="V135" i="1"/>
  <c r="T135" i="1"/>
  <c r="R135" i="1"/>
  <c r="P135" i="1"/>
  <c r="N135" i="1"/>
  <c r="L135" i="1"/>
  <c r="J135" i="1"/>
  <c r="H135" i="1"/>
  <c r="F135" i="1"/>
  <c r="D135" i="1"/>
  <c r="B135" i="1"/>
  <c r="X134" i="1"/>
  <c r="X133" i="1"/>
  <c r="X132" i="1"/>
  <c r="V130" i="1"/>
  <c r="T130" i="1"/>
  <c r="R130" i="1"/>
  <c r="P130" i="1"/>
  <c r="N130" i="1"/>
  <c r="L130" i="1"/>
  <c r="J130" i="1"/>
  <c r="H130" i="1"/>
  <c r="F130" i="1"/>
  <c r="D130" i="1"/>
  <c r="B130" i="1"/>
  <c r="X129" i="1"/>
  <c r="X128" i="1"/>
  <c r="X127" i="1"/>
  <c r="V125" i="1"/>
  <c r="T125" i="1"/>
  <c r="T145" i="1" s="1"/>
  <c r="R125" i="1"/>
  <c r="P125" i="1"/>
  <c r="N125" i="1"/>
  <c r="L125" i="1"/>
  <c r="J125" i="1"/>
  <c r="H125" i="1"/>
  <c r="F125" i="1"/>
  <c r="D125" i="1"/>
  <c r="B125" i="1"/>
  <c r="X124" i="1"/>
  <c r="X123" i="1"/>
  <c r="X122" i="1"/>
  <c r="X121" i="1"/>
  <c r="X120" i="1"/>
  <c r="X119" i="1"/>
  <c r="V115" i="1"/>
  <c r="T115" i="1"/>
  <c r="R115" i="1"/>
  <c r="P115" i="1"/>
  <c r="N115" i="1"/>
  <c r="L115" i="1"/>
  <c r="J115" i="1"/>
  <c r="H115" i="1"/>
  <c r="F115" i="1"/>
  <c r="D115" i="1"/>
  <c r="B115" i="1"/>
  <c r="X114" i="1"/>
  <c r="X113" i="1"/>
  <c r="X112" i="1"/>
  <c r="X111" i="1"/>
  <c r="X110" i="1"/>
  <c r="X109" i="1"/>
  <c r="X108" i="1"/>
  <c r="X107" i="1"/>
  <c r="V106" i="1"/>
  <c r="T106" i="1"/>
  <c r="R106" i="1"/>
  <c r="P106" i="1"/>
  <c r="N106" i="1"/>
  <c r="L106" i="1"/>
  <c r="J106" i="1"/>
  <c r="H106" i="1"/>
  <c r="F106" i="1"/>
  <c r="D106" i="1"/>
  <c r="B106" i="1"/>
  <c r="X105" i="1"/>
  <c r="X104" i="1"/>
  <c r="X103" i="1"/>
  <c r="V101" i="1"/>
  <c r="T101" i="1"/>
  <c r="R101" i="1"/>
  <c r="P101" i="1"/>
  <c r="N101" i="1"/>
  <c r="L101" i="1"/>
  <c r="J101" i="1"/>
  <c r="H101" i="1"/>
  <c r="F101" i="1"/>
  <c r="D101" i="1"/>
  <c r="B101" i="1"/>
  <c r="X100" i="1"/>
  <c r="X99" i="1"/>
  <c r="X98" i="1"/>
  <c r="X97" i="1"/>
  <c r="X96" i="1"/>
  <c r="X95" i="1"/>
  <c r="X94" i="1"/>
  <c r="X93" i="1"/>
  <c r="V92" i="1"/>
  <c r="T92" i="1"/>
  <c r="R92" i="1"/>
  <c r="P92" i="1"/>
  <c r="N92" i="1"/>
  <c r="L92" i="1"/>
  <c r="J92" i="1"/>
  <c r="H92" i="1"/>
  <c r="F92" i="1"/>
  <c r="D92" i="1"/>
  <c r="B92" i="1"/>
  <c r="X91" i="1"/>
  <c r="X90" i="1"/>
  <c r="X89" i="1"/>
  <c r="X88" i="1"/>
  <c r="T86" i="1"/>
  <c r="X85" i="1"/>
  <c r="V83" i="1"/>
  <c r="T83" i="1"/>
  <c r="R83" i="1"/>
  <c r="P83" i="1"/>
  <c r="N83" i="1"/>
  <c r="L83" i="1"/>
  <c r="J83" i="1"/>
  <c r="H83" i="1"/>
  <c r="F83" i="1"/>
  <c r="D83" i="1"/>
  <c r="B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8" i="1"/>
  <c r="X67" i="1"/>
  <c r="X66" i="1"/>
  <c r="V62" i="1"/>
  <c r="T62" i="1"/>
  <c r="R62" i="1"/>
  <c r="P62" i="1"/>
  <c r="N62" i="1"/>
  <c r="L62" i="1"/>
  <c r="J62" i="1"/>
  <c r="H62" i="1"/>
  <c r="F62" i="1"/>
  <c r="D62" i="1"/>
  <c r="B62" i="1"/>
  <c r="X61" i="1"/>
  <c r="X60" i="1"/>
  <c r="V58" i="1"/>
  <c r="T58" i="1"/>
  <c r="R58" i="1"/>
  <c r="P58" i="1"/>
  <c r="N58" i="1"/>
  <c r="L58" i="1"/>
  <c r="J58" i="1"/>
  <c r="H58" i="1"/>
  <c r="F58" i="1"/>
  <c r="D58" i="1"/>
  <c r="B58" i="1"/>
  <c r="X57" i="1"/>
  <c r="X56" i="1"/>
  <c r="X55" i="1"/>
  <c r="X53" i="1"/>
  <c r="V47" i="1"/>
  <c r="T47" i="1"/>
  <c r="R47" i="1"/>
  <c r="P47" i="1"/>
  <c r="N47" i="1"/>
  <c r="L47" i="1"/>
  <c r="J47" i="1"/>
  <c r="H47" i="1"/>
  <c r="F47" i="1"/>
  <c r="D47" i="1"/>
  <c r="B47" i="1"/>
  <c r="X46" i="1"/>
  <c r="X45" i="1"/>
  <c r="X44" i="1"/>
  <c r="X43" i="1"/>
  <c r="X41" i="1"/>
  <c r="X40" i="1"/>
  <c r="V39" i="1"/>
  <c r="T39" i="1"/>
  <c r="R39" i="1"/>
  <c r="P39" i="1"/>
  <c r="N39" i="1"/>
  <c r="L39" i="1"/>
  <c r="J39" i="1"/>
  <c r="H39" i="1"/>
  <c r="F39" i="1"/>
  <c r="D39" i="1"/>
  <c r="B39" i="1"/>
  <c r="X38" i="1"/>
  <c r="X37" i="1"/>
  <c r="X36" i="1"/>
  <c r="V34" i="1"/>
  <c r="T34" i="1"/>
  <c r="R34" i="1"/>
  <c r="P34" i="1"/>
  <c r="N34" i="1"/>
  <c r="L34" i="1"/>
  <c r="J34" i="1"/>
  <c r="H34" i="1"/>
  <c r="F34" i="1"/>
  <c r="D34" i="1"/>
  <c r="B34" i="1"/>
  <c r="X33" i="1"/>
  <c r="X32" i="1"/>
  <c r="X31" i="1"/>
  <c r="X26" i="1"/>
  <c r="V25" i="1"/>
  <c r="T25" i="1"/>
  <c r="R25" i="1"/>
  <c r="P25" i="1"/>
  <c r="N25" i="1"/>
  <c r="L25" i="1"/>
  <c r="J25" i="1"/>
  <c r="H25" i="1"/>
  <c r="F25" i="1"/>
  <c r="D25" i="1"/>
  <c r="B25" i="1"/>
  <c r="X24" i="1"/>
  <c r="X23" i="1"/>
  <c r="X22" i="1"/>
  <c r="X21" i="1"/>
  <c r="X20" i="1"/>
  <c r="X19" i="1"/>
  <c r="X18" i="1"/>
  <c r="X17" i="1"/>
  <c r="X16" i="1"/>
  <c r="X15" i="1"/>
  <c r="X13" i="1"/>
  <c r="V12" i="1"/>
  <c r="T12" i="1"/>
  <c r="R12" i="1"/>
  <c r="P12" i="1"/>
  <c r="N12" i="1"/>
  <c r="L12" i="1"/>
  <c r="J12" i="1"/>
  <c r="H12" i="1"/>
  <c r="F12" i="1"/>
  <c r="D12" i="1"/>
  <c r="B12" i="1"/>
  <c r="X11" i="1"/>
  <c r="X10" i="1"/>
  <c r="X8" i="1"/>
  <c r="V154" i="1" l="1"/>
  <c r="T154" i="1"/>
  <c r="R154" i="1"/>
  <c r="P154" i="1"/>
  <c r="N154" i="1"/>
  <c r="L154" i="1"/>
  <c r="J154" i="1"/>
  <c r="H154" i="1"/>
  <c r="F154" i="1"/>
  <c r="D154" i="1"/>
  <c r="B154" i="1"/>
  <c r="X153" i="1"/>
  <c r="X143" i="1"/>
  <c r="X140" i="1"/>
  <c r="X135" i="1"/>
  <c r="X130" i="1"/>
  <c r="V145" i="1"/>
  <c r="R145" i="1"/>
  <c r="P145" i="1"/>
  <c r="N145" i="1"/>
  <c r="L145" i="1"/>
  <c r="J145" i="1"/>
  <c r="H145" i="1"/>
  <c r="F145" i="1"/>
  <c r="D145" i="1"/>
  <c r="X125" i="1"/>
  <c r="B145" i="1"/>
  <c r="X115" i="1"/>
  <c r="X106" i="1"/>
  <c r="X101" i="1"/>
  <c r="X92" i="1"/>
  <c r="X86" i="1"/>
  <c r="V116" i="1"/>
  <c r="T116" i="1"/>
  <c r="R116" i="1"/>
  <c r="P116" i="1"/>
  <c r="N116" i="1"/>
  <c r="L116" i="1"/>
  <c r="J116" i="1"/>
  <c r="H116" i="1"/>
  <c r="F116" i="1"/>
  <c r="D116" i="1"/>
  <c r="B116" i="1"/>
  <c r="X83" i="1"/>
  <c r="X62" i="1"/>
  <c r="V63" i="1"/>
  <c r="T63" i="1"/>
  <c r="R63" i="1"/>
  <c r="P63" i="1"/>
  <c r="N63" i="1"/>
  <c r="L63" i="1"/>
  <c r="J63" i="1"/>
  <c r="H63" i="1"/>
  <c r="F63" i="1"/>
  <c r="D63" i="1"/>
  <c r="B63" i="1"/>
  <c r="X58" i="1"/>
  <c r="X47" i="1"/>
  <c r="X39" i="1"/>
  <c r="V48" i="1"/>
  <c r="T48" i="1"/>
  <c r="R48" i="1"/>
  <c r="P48" i="1"/>
  <c r="N48" i="1"/>
  <c r="L48" i="1"/>
  <c r="J48" i="1"/>
  <c r="H48" i="1"/>
  <c r="F48" i="1"/>
  <c r="D48" i="1"/>
  <c r="B48" i="1"/>
  <c r="X34" i="1"/>
  <c r="V27" i="1"/>
  <c r="T27" i="1"/>
  <c r="R27" i="1"/>
  <c r="P27" i="1"/>
  <c r="N27" i="1"/>
  <c r="L27" i="1"/>
  <c r="J27" i="1"/>
  <c r="H27" i="1"/>
  <c r="F27" i="1"/>
  <c r="D27" i="1"/>
  <c r="X25" i="1"/>
  <c r="B27" i="1"/>
  <c r="C12" i="1" s="1"/>
  <c r="X12" i="1"/>
  <c r="C154" i="1" l="1"/>
  <c r="X154" i="1"/>
  <c r="C145" i="1"/>
  <c r="X145" i="1"/>
  <c r="C116" i="1"/>
  <c r="X116" i="1"/>
  <c r="W63" i="1"/>
  <c r="V156" i="1"/>
  <c r="W156" i="1" s="1"/>
  <c r="U63" i="1"/>
  <c r="T156" i="1"/>
  <c r="U156" i="1" s="1"/>
  <c r="S63" i="1"/>
  <c r="R156" i="1"/>
  <c r="S156" i="1" s="1"/>
  <c r="Q63" i="1"/>
  <c r="P156" i="1"/>
  <c r="Q156" i="1" s="1"/>
  <c r="O63" i="1"/>
  <c r="N156" i="1"/>
  <c r="O156" i="1" s="1"/>
  <c r="M63" i="1"/>
  <c r="L156" i="1"/>
  <c r="M156" i="1" s="1"/>
  <c r="K63" i="1"/>
  <c r="J156" i="1"/>
  <c r="K156" i="1" s="1"/>
  <c r="I63" i="1"/>
  <c r="H156" i="1"/>
  <c r="I156" i="1" s="1"/>
  <c r="G63" i="1"/>
  <c r="F156" i="1"/>
  <c r="G156" i="1" s="1"/>
  <c r="E63" i="1"/>
  <c r="D156" i="1"/>
  <c r="E156" i="1" s="1"/>
  <c r="C63" i="1"/>
  <c r="X63" i="1"/>
  <c r="B156" i="1"/>
  <c r="C48" i="1"/>
  <c r="X48" i="1"/>
  <c r="W101" i="1"/>
  <c r="W62" i="1"/>
  <c r="W115" i="1"/>
  <c r="W143" i="1"/>
  <c r="W39" i="1"/>
  <c r="W47" i="1"/>
  <c r="W92" i="1"/>
  <c r="W130" i="1"/>
  <c r="W106" i="1"/>
  <c r="W135" i="1"/>
  <c r="W12" i="1"/>
  <c r="W75" i="1"/>
  <c r="W76" i="1"/>
  <c r="W78" i="1"/>
  <c r="W82" i="1"/>
  <c r="W87" i="1"/>
  <c r="W90" i="1"/>
  <c r="W93" i="1"/>
  <c r="W94" i="1"/>
  <c r="W95" i="1"/>
  <c r="W102" i="1"/>
  <c r="W103" i="1"/>
  <c r="W113" i="1"/>
  <c r="W121" i="1"/>
  <c r="W126" i="1"/>
  <c r="W128" i="1"/>
  <c r="W132" i="1"/>
  <c r="W134" i="1"/>
  <c r="W138" i="1"/>
  <c r="W144" i="1"/>
  <c r="W146" i="1"/>
  <c r="W147" i="1"/>
  <c r="W148" i="1"/>
  <c r="W149" i="1"/>
  <c r="W151" i="1"/>
  <c r="W29" i="1"/>
  <c r="W33" i="1"/>
  <c r="W80" i="1"/>
  <c r="W89" i="1"/>
  <c r="W91" i="1"/>
  <c r="W96" i="1"/>
  <c r="W100" i="1"/>
  <c r="W107" i="1"/>
  <c r="W111" i="1"/>
  <c r="W119" i="1"/>
  <c r="W124" i="1"/>
  <c r="W137" i="1"/>
  <c r="W142" i="1"/>
  <c r="W30" i="1"/>
  <c r="W32" i="1"/>
  <c r="W36" i="1"/>
  <c r="W84" i="1"/>
  <c r="W108" i="1"/>
  <c r="W109" i="1"/>
  <c r="W110" i="1"/>
  <c r="W122" i="1"/>
  <c r="W129" i="1"/>
  <c r="W133" i="1"/>
  <c r="W136" i="1"/>
  <c r="W141" i="1"/>
  <c r="W152" i="1"/>
  <c r="W74" i="1"/>
  <c r="W79" i="1"/>
  <c r="W85" i="1"/>
  <c r="W86" i="1"/>
  <c r="W97" i="1"/>
  <c r="W98" i="1"/>
  <c r="W104" i="1"/>
  <c r="W105" i="1"/>
  <c r="W117" i="1"/>
  <c r="W123" i="1"/>
  <c r="W131" i="1"/>
  <c r="W139" i="1"/>
  <c r="W140" i="1"/>
  <c r="W150" i="1"/>
  <c r="W155" i="1"/>
  <c r="W35" i="1"/>
  <c r="W77" i="1"/>
  <c r="W81" i="1"/>
  <c r="W88" i="1"/>
  <c r="W99" i="1"/>
  <c r="W112" i="1"/>
  <c r="W114" i="1"/>
  <c r="W118" i="1"/>
  <c r="W120" i="1"/>
  <c r="W127" i="1"/>
  <c r="W7" i="1"/>
  <c r="W8" i="1"/>
  <c r="W9" i="1"/>
  <c r="W10" i="1"/>
  <c r="W11" i="1"/>
  <c r="W13" i="1"/>
  <c r="W14" i="1"/>
  <c r="W15" i="1"/>
  <c r="W16" i="1"/>
  <c r="W17" i="1"/>
  <c r="W18" i="1"/>
  <c r="W19" i="1"/>
  <c r="W20" i="1"/>
  <c r="W21" i="1"/>
  <c r="W22" i="1"/>
  <c r="W23" i="1"/>
  <c r="W24" i="1"/>
  <c r="W27" i="1"/>
  <c r="W31" i="1"/>
  <c r="W37" i="1"/>
  <c r="W38" i="1"/>
  <c r="W40" i="1"/>
  <c r="W41" i="1"/>
  <c r="W42" i="1"/>
  <c r="W43" i="1"/>
  <c r="W44" i="1"/>
  <c r="W45" i="1"/>
  <c r="W46" i="1"/>
  <c r="V49" i="1"/>
  <c r="W51" i="1"/>
  <c r="W52" i="1"/>
  <c r="W53" i="1"/>
  <c r="W54" i="1"/>
  <c r="W55" i="1"/>
  <c r="W56" i="1"/>
  <c r="W57" i="1"/>
  <c r="W59" i="1"/>
  <c r="W60" i="1"/>
  <c r="W61" i="1"/>
  <c r="W65" i="1"/>
  <c r="W66" i="1"/>
  <c r="W67" i="1"/>
  <c r="W68" i="1"/>
  <c r="W69" i="1"/>
  <c r="W70" i="1"/>
  <c r="W71" i="1"/>
  <c r="W72" i="1"/>
  <c r="W73" i="1"/>
  <c r="W26" i="1"/>
  <c r="U130" i="1"/>
  <c r="U135" i="1"/>
  <c r="U143" i="1"/>
  <c r="U115" i="1"/>
  <c r="U39" i="1"/>
  <c r="U62" i="1"/>
  <c r="U106" i="1"/>
  <c r="U145" i="1"/>
  <c r="U140" i="1"/>
  <c r="U47" i="1"/>
  <c r="U92" i="1"/>
  <c r="U101" i="1"/>
  <c r="U12" i="1"/>
  <c r="U31" i="1"/>
  <c r="U33" i="1"/>
  <c r="U90" i="1"/>
  <c r="U91" i="1"/>
  <c r="U96" i="1"/>
  <c r="U102" i="1"/>
  <c r="U114" i="1"/>
  <c r="U124" i="1"/>
  <c r="U126" i="1"/>
  <c r="U129" i="1"/>
  <c r="U134" i="1"/>
  <c r="U149" i="1"/>
  <c r="U30" i="1"/>
  <c r="U79" i="1"/>
  <c r="U87" i="1"/>
  <c r="U89" i="1"/>
  <c r="U104" i="1"/>
  <c r="U107" i="1"/>
  <c r="U109" i="1"/>
  <c r="U113" i="1"/>
  <c r="U121" i="1"/>
  <c r="U122" i="1"/>
  <c r="U7" i="1"/>
  <c r="U8" i="1"/>
  <c r="U9" i="1"/>
  <c r="U10" i="1"/>
  <c r="U11" i="1"/>
  <c r="U13" i="1"/>
  <c r="U14" i="1"/>
  <c r="U15" i="1"/>
  <c r="U16" i="1"/>
  <c r="U17" i="1"/>
  <c r="U18" i="1"/>
  <c r="U19" i="1"/>
  <c r="U20" i="1"/>
  <c r="U21" i="1"/>
  <c r="U22" i="1"/>
  <c r="U23" i="1"/>
  <c r="U36" i="1"/>
  <c r="U38" i="1"/>
  <c r="U40" i="1"/>
  <c r="U41" i="1"/>
  <c r="U42" i="1"/>
  <c r="U43" i="1"/>
  <c r="U44" i="1"/>
  <c r="U45" i="1"/>
  <c r="U46" i="1"/>
  <c r="T49" i="1"/>
  <c r="U51" i="1"/>
  <c r="U52" i="1"/>
  <c r="U53" i="1"/>
  <c r="U54" i="1"/>
  <c r="U55" i="1"/>
  <c r="U56" i="1"/>
  <c r="U57" i="1"/>
  <c r="U59" i="1"/>
  <c r="U60" i="1"/>
  <c r="U61" i="1"/>
  <c r="U65" i="1"/>
  <c r="U66" i="1"/>
  <c r="U67" i="1"/>
  <c r="U68" i="1"/>
  <c r="U69" i="1"/>
  <c r="U70" i="1"/>
  <c r="U71" i="1"/>
  <c r="U72" i="1"/>
  <c r="U73" i="1"/>
  <c r="U24" i="1"/>
  <c r="U80" i="1"/>
  <c r="U81" i="1"/>
  <c r="U100" i="1"/>
  <c r="U108" i="1"/>
  <c r="U111" i="1"/>
  <c r="U117" i="1"/>
  <c r="U120" i="1"/>
  <c r="U123" i="1"/>
  <c r="U131" i="1"/>
  <c r="U137" i="1"/>
  <c r="U139" i="1"/>
  <c r="U141" i="1"/>
  <c r="U142" i="1"/>
  <c r="U155" i="1"/>
  <c r="U27" i="1"/>
  <c r="U32" i="1"/>
  <c r="U37" i="1"/>
  <c r="U76" i="1"/>
  <c r="U77" i="1"/>
  <c r="U78" i="1"/>
  <c r="U84" i="1"/>
  <c r="U88" i="1"/>
  <c r="U94" i="1"/>
  <c r="U95" i="1"/>
  <c r="U103" i="1"/>
  <c r="U110" i="1"/>
  <c r="U112" i="1"/>
  <c r="U118" i="1"/>
  <c r="U132" i="1"/>
  <c r="U133" i="1"/>
  <c r="U136" i="1"/>
  <c r="U138" i="1"/>
  <c r="U146" i="1"/>
  <c r="U148" i="1"/>
  <c r="U150" i="1"/>
  <c r="U151" i="1"/>
  <c r="U152" i="1"/>
  <c r="U26" i="1"/>
  <c r="U29" i="1"/>
  <c r="U35" i="1"/>
  <c r="U74" i="1"/>
  <c r="U75" i="1"/>
  <c r="U82" i="1"/>
  <c r="U85" i="1"/>
  <c r="U93" i="1"/>
  <c r="U97" i="1"/>
  <c r="U98" i="1"/>
  <c r="U99" i="1"/>
  <c r="U105" i="1"/>
  <c r="U119" i="1"/>
  <c r="U125" i="1"/>
  <c r="U127" i="1"/>
  <c r="U128" i="1"/>
  <c r="U144" i="1"/>
  <c r="U147" i="1"/>
  <c r="S115" i="1"/>
  <c r="S47" i="1"/>
  <c r="S92" i="1"/>
  <c r="S106" i="1"/>
  <c r="S140" i="1"/>
  <c r="S62" i="1"/>
  <c r="S101" i="1"/>
  <c r="S143" i="1"/>
  <c r="S39" i="1"/>
  <c r="S130" i="1"/>
  <c r="S135" i="1"/>
  <c r="S12" i="1"/>
  <c r="S32" i="1"/>
  <c r="S35" i="1"/>
  <c r="S37" i="1"/>
  <c r="S38" i="1"/>
  <c r="S40" i="1"/>
  <c r="S41" i="1"/>
  <c r="S42" i="1"/>
  <c r="S43" i="1"/>
  <c r="S44" i="1"/>
  <c r="S45" i="1"/>
  <c r="S46" i="1"/>
  <c r="R49" i="1"/>
  <c r="S51" i="1"/>
  <c r="S52" i="1"/>
  <c r="S53" i="1"/>
  <c r="S54" i="1"/>
  <c r="S55" i="1"/>
  <c r="S56" i="1"/>
  <c r="S57" i="1"/>
  <c r="S59" i="1"/>
  <c r="S60" i="1"/>
  <c r="S61" i="1"/>
  <c r="S65" i="1"/>
  <c r="S66" i="1"/>
  <c r="S67" i="1"/>
  <c r="S68" i="1"/>
  <c r="S69" i="1"/>
  <c r="S70" i="1"/>
  <c r="S71" i="1"/>
  <c r="S72" i="1"/>
  <c r="S73" i="1"/>
  <c r="S29" i="1"/>
  <c r="S77" i="1"/>
  <c r="S79" i="1"/>
  <c r="S84" i="1"/>
  <c r="S89" i="1"/>
  <c r="S99" i="1"/>
  <c r="S105" i="1"/>
  <c r="S107" i="1"/>
  <c r="S109" i="1"/>
  <c r="S114" i="1"/>
  <c r="S118" i="1"/>
  <c r="S119" i="1"/>
  <c r="S124" i="1"/>
  <c r="S127" i="1"/>
  <c r="S128" i="1"/>
  <c r="S30" i="1"/>
  <c r="S85" i="1"/>
  <c r="S97" i="1"/>
  <c r="S98" i="1"/>
  <c r="S100" i="1"/>
  <c r="S104" i="1"/>
  <c r="S113" i="1"/>
  <c r="S134" i="1"/>
  <c r="S136" i="1"/>
  <c r="S137" i="1"/>
  <c r="S147" i="1"/>
  <c r="S24" i="1"/>
  <c r="S33" i="1"/>
  <c r="S78" i="1"/>
  <c r="S81" i="1"/>
  <c r="S86" i="1"/>
  <c r="S95" i="1"/>
  <c r="S96" i="1"/>
  <c r="S112" i="1"/>
  <c r="S121" i="1"/>
  <c r="S129" i="1"/>
  <c r="S132" i="1"/>
  <c r="S139" i="1"/>
  <c r="S149" i="1"/>
  <c r="S150" i="1"/>
  <c r="S155" i="1"/>
  <c r="S36" i="1"/>
  <c r="S74" i="1"/>
  <c r="S75" i="1"/>
  <c r="S87" i="1"/>
  <c r="S88" i="1"/>
  <c r="S93" i="1"/>
  <c r="S94" i="1"/>
  <c r="S120" i="1"/>
  <c r="S122" i="1"/>
  <c r="S131" i="1"/>
  <c r="S133" i="1"/>
  <c r="S138" i="1"/>
  <c r="S141" i="1"/>
  <c r="S142" i="1"/>
  <c r="S144" i="1"/>
  <c r="S146" i="1"/>
  <c r="S148" i="1"/>
  <c r="S151" i="1"/>
  <c r="S152" i="1"/>
  <c r="S27" i="1"/>
  <c r="S31" i="1"/>
  <c r="S76" i="1"/>
  <c r="S80" i="1"/>
  <c r="S82" i="1"/>
  <c r="S90" i="1"/>
  <c r="S91" i="1"/>
  <c r="S102" i="1"/>
  <c r="S103" i="1"/>
  <c r="S108" i="1"/>
  <c r="S110" i="1"/>
  <c r="S111" i="1"/>
  <c r="S117" i="1"/>
  <c r="S123" i="1"/>
  <c r="S126" i="1"/>
  <c r="S7" i="1"/>
  <c r="S8" i="1"/>
  <c r="S9" i="1"/>
  <c r="S10" i="1"/>
  <c r="S11" i="1"/>
  <c r="S13" i="1"/>
  <c r="S14" i="1"/>
  <c r="S15" i="1"/>
  <c r="S16" i="1"/>
  <c r="S17" i="1"/>
  <c r="S18" i="1"/>
  <c r="S19" i="1"/>
  <c r="S20" i="1"/>
  <c r="S21" i="1"/>
  <c r="S22" i="1"/>
  <c r="S23" i="1"/>
  <c r="S26" i="1"/>
  <c r="Q39" i="1"/>
  <c r="Q47" i="1"/>
  <c r="Q92" i="1"/>
  <c r="Q106" i="1"/>
  <c r="Q101" i="1"/>
  <c r="Q130" i="1"/>
  <c r="Q135" i="1"/>
  <c r="Q62" i="1"/>
  <c r="Q115" i="1"/>
  <c r="Q143" i="1"/>
  <c r="Q12" i="1"/>
  <c r="Q31" i="1"/>
  <c r="Q36" i="1"/>
  <c r="Q37" i="1"/>
  <c r="Q74" i="1"/>
  <c r="Q79" i="1"/>
  <c r="Q80" i="1"/>
  <c r="Q89" i="1"/>
  <c r="Q102" i="1"/>
  <c r="Q103" i="1"/>
  <c r="Q104" i="1"/>
  <c r="Q110" i="1"/>
  <c r="Q117" i="1"/>
  <c r="Q118" i="1"/>
  <c r="Q136" i="1"/>
  <c r="Q140" i="1"/>
  <c r="Q141" i="1"/>
  <c r="Q146" i="1"/>
  <c r="Q152" i="1"/>
  <c r="Q76" i="1"/>
  <c r="Q77" i="1"/>
  <c r="Q84" i="1"/>
  <c r="Q86" i="1"/>
  <c r="Q95" i="1"/>
  <c r="Q99" i="1"/>
  <c r="Q105" i="1"/>
  <c r="Q108" i="1"/>
  <c r="Q109" i="1"/>
  <c r="Q119" i="1"/>
  <c r="Q121" i="1"/>
  <c r="Q127" i="1"/>
  <c r="Q128" i="1"/>
  <c r="Q139" i="1"/>
  <c r="Q150" i="1"/>
  <c r="Q155" i="1"/>
  <c r="Q24" i="1"/>
  <c r="Q81" i="1"/>
  <c r="Q85" i="1"/>
  <c r="Q97" i="1"/>
  <c r="Q114" i="1"/>
  <c r="Q7" i="1"/>
  <c r="Q8" i="1"/>
  <c r="Q9" i="1"/>
  <c r="Q10" i="1"/>
  <c r="Q11" i="1"/>
  <c r="Q13" i="1"/>
  <c r="Q14" i="1"/>
  <c r="Q15" i="1"/>
  <c r="Q16" i="1"/>
  <c r="Q17" i="1"/>
  <c r="Q18" i="1"/>
  <c r="Q19" i="1"/>
  <c r="Q20" i="1"/>
  <c r="Q21" i="1"/>
  <c r="Q22" i="1"/>
  <c r="Q23" i="1"/>
  <c r="Q29" i="1"/>
  <c r="Q33" i="1"/>
  <c r="Q38" i="1"/>
  <c r="Q40" i="1"/>
  <c r="Q41" i="1"/>
  <c r="Q42" i="1"/>
  <c r="Q43" i="1"/>
  <c r="Q44" i="1"/>
  <c r="Q45" i="1"/>
  <c r="Q46" i="1"/>
  <c r="P49" i="1"/>
  <c r="Q51" i="1"/>
  <c r="Q52" i="1"/>
  <c r="Q53" i="1"/>
  <c r="Q54" i="1"/>
  <c r="Q55" i="1"/>
  <c r="Q56" i="1"/>
  <c r="Q57" i="1"/>
  <c r="Q59" i="1"/>
  <c r="Q60" i="1"/>
  <c r="Q61" i="1"/>
  <c r="Q65" i="1"/>
  <c r="Q66" i="1"/>
  <c r="Q67" i="1"/>
  <c r="Q68" i="1"/>
  <c r="Q69" i="1"/>
  <c r="Q70" i="1"/>
  <c r="Q71" i="1"/>
  <c r="Q72" i="1"/>
  <c r="Q73" i="1"/>
  <c r="Q26" i="1"/>
  <c r="Q30" i="1"/>
  <c r="Q32" i="1"/>
  <c r="Q75" i="1"/>
  <c r="Q78" i="1"/>
  <c r="Q82" i="1"/>
  <c r="Q87" i="1"/>
  <c r="Q88" i="1"/>
  <c r="Q91" i="1"/>
  <c r="Q93" i="1"/>
  <c r="Q94" i="1"/>
  <c r="Q96" i="1"/>
  <c r="Q98" i="1"/>
  <c r="Q100" i="1"/>
  <c r="Q113" i="1"/>
  <c r="Q131" i="1"/>
  <c r="Q132" i="1"/>
  <c r="Q134" i="1"/>
  <c r="Q137" i="1"/>
  <c r="Q138" i="1"/>
  <c r="Q144" i="1"/>
  <c r="Q147" i="1"/>
  <c r="Q148" i="1"/>
  <c r="Q149" i="1"/>
  <c r="Q151" i="1"/>
  <c r="Q27" i="1"/>
  <c r="Q35" i="1"/>
  <c r="Q90" i="1"/>
  <c r="Q107" i="1"/>
  <c r="Q111" i="1"/>
  <c r="Q112" i="1"/>
  <c r="Q120" i="1"/>
  <c r="Q122" i="1"/>
  <c r="Q123" i="1"/>
  <c r="Q124" i="1"/>
  <c r="Q126" i="1"/>
  <c r="Q129" i="1"/>
  <c r="Q133" i="1"/>
  <c r="Q142" i="1"/>
  <c r="O143" i="1"/>
  <c r="O62" i="1"/>
  <c r="O115" i="1"/>
  <c r="O47" i="1"/>
  <c r="O39" i="1"/>
  <c r="O92" i="1"/>
  <c r="O135" i="1"/>
  <c r="O101" i="1"/>
  <c r="O106" i="1"/>
  <c r="O130" i="1"/>
  <c r="O12" i="1"/>
  <c r="O27" i="1"/>
  <c r="O36" i="1"/>
  <c r="O77" i="1"/>
  <c r="O78" i="1"/>
  <c r="O84" i="1"/>
  <c r="O88" i="1"/>
  <c r="O93" i="1"/>
  <c r="O94" i="1"/>
  <c r="O99" i="1"/>
  <c r="O100" i="1"/>
  <c r="O108" i="1"/>
  <c r="O110" i="1"/>
  <c r="O112" i="1"/>
  <c r="O120" i="1"/>
  <c r="O122" i="1"/>
  <c r="O7" i="1"/>
  <c r="O8" i="1"/>
  <c r="O9" i="1"/>
  <c r="O10" i="1"/>
  <c r="O11" i="1"/>
  <c r="O13" i="1"/>
  <c r="O14" i="1"/>
  <c r="O15" i="1"/>
  <c r="O16" i="1"/>
  <c r="O17" i="1"/>
  <c r="O18" i="1"/>
  <c r="O19" i="1"/>
  <c r="O20" i="1"/>
  <c r="O21" i="1"/>
  <c r="O22" i="1"/>
  <c r="O23" i="1"/>
  <c r="O24" i="1"/>
  <c r="O30" i="1"/>
  <c r="O38" i="1"/>
  <c r="O40" i="1"/>
  <c r="O41" i="1"/>
  <c r="O42" i="1"/>
  <c r="O43" i="1"/>
  <c r="O44" i="1"/>
  <c r="O45" i="1"/>
  <c r="O46" i="1"/>
  <c r="N49" i="1"/>
  <c r="O51" i="1"/>
  <c r="O52" i="1"/>
  <c r="O53" i="1"/>
  <c r="O54" i="1"/>
  <c r="O55" i="1"/>
  <c r="O56" i="1"/>
  <c r="O57" i="1"/>
  <c r="O59" i="1"/>
  <c r="O60" i="1"/>
  <c r="O61" i="1"/>
  <c r="O65" i="1"/>
  <c r="O66" i="1"/>
  <c r="O67" i="1"/>
  <c r="O68" i="1"/>
  <c r="O69" i="1"/>
  <c r="O70" i="1"/>
  <c r="O71" i="1"/>
  <c r="O72" i="1"/>
  <c r="O73" i="1"/>
  <c r="O76" i="1"/>
  <c r="O80" i="1"/>
  <c r="O95" i="1"/>
  <c r="O102" i="1"/>
  <c r="O103" i="1"/>
  <c r="O111" i="1"/>
  <c r="O117" i="1"/>
  <c r="O121" i="1"/>
  <c r="O128" i="1"/>
  <c r="O137" i="1"/>
  <c r="O139" i="1"/>
  <c r="O141" i="1"/>
  <c r="O26" i="1"/>
  <c r="O81" i="1"/>
  <c r="O86" i="1"/>
  <c r="O87" i="1"/>
  <c r="O89" i="1"/>
  <c r="O119" i="1"/>
  <c r="O140" i="1"/>
  <c r="O146" i="1"/>
  <c r="O148" i="1"/>
  <c r="O149" i="1"/>
  <c r="O150" i="1"/>
  <c r="O151" i="1"/>
  <c r="O152" i="1"/>
  <c r="O32" i="1"/>
  <c r="O75" i="1"/>
  <c r="O82" i="1"/>
  <c r="O105" i="1"/>
  <c r="O109" i="1"/>
  <c r="O126" i="1"/>
  <c r="O127" i="1"/>
  <c r="O131" i="1"/>
  <c r="O132" i="1"/>
  <c r="O133" i="1"/>
  <c r="O136" i="1"/>
  <c r="O144" i="1"/>
  <c r="O147" i="1"/>
  <c r="O155" i="1"/>
  <c r="O29" i="1"/>
  <c r="O31" i="1"/>
  <c r="O33" i="1"/>
  <c r="O35" i="1"/>
  <c r="O37" i="1"/>
  <c r="O74" i="1"/>
  <c r="O79" i="1"/>
  <c r="O85" i="1"/>
  <c r="O90" i="1"/>
  <c r="O91" i="1"/>
  <c r="O96" i="1"/>
  <c r="O97" i="1"/>
  <c r="O98" i="1"/>
  <c r="O104" i="1"/>
  <c r="O107" i="1"/>
  <c r="O113" i="1"/>
  <c r="O114" i="1"/>
  <c r="O118" i="1"/>
  <c r="O123" i="1"/>
  <c r="O124" i="1"/>
  <c r="O129" i="1"/>
  <c r="O134" i="1"/>
  <c r="O138" i="1"/>
  <c r="O142" i="1"/>
  <c r="M115" i="1"/>
  <c r="M135" i="1"/>
  <c r="M92" i="1"/>
  <c r="M130" i="1"/>
  <c r="M143" i="1"/>
  <c r="M62" i="1"/>
  <c r="M47" i="1"/>
  <c r="M101" i="1"/>
  <c r="M39" i="1"/>
  <c r="M106" i="1"/>
  <c r="M12" i="1"/>
  <c r="M33" i="1"/>
  <c r="M79" i="1"/>
  <c r="M81" i="1"/>
  <c r="M86" i="1"/>
  <c r="M90" i="1"/>
  <c r="M91" i="1"/>
  <c r="M93" i="1"/>
  <c r="M107" i="1"/>
  <c r="M114" i="1"/>
  <c r="M119" i="1"/>
  <c r="M120" i="1"/>
  <c r="M123" i="1"/>
  <c r="M124" i="1"/>
  <c r="M129" i="1"/>
  <c r="M132" i="1"/>
  <c r="M134" i="1"/>
  <c r="M142" i="1"/>
  <c r="M146" i="1"/>
  <c r="M152" i="1"/>
  <c r="M155" i="1"/>
  <c r="M27" i="1"/>
  <c r="M74" i="1"/>
  <c r="M76" i="1"/>
  <c r="M77" i="1"/>
  <c r="M78" i="1"/>
  <c r="M80" i="1"/>
  <c r="M88" i="1"/>
  <c r="M95" i="1"/>
  <c r="M96" i="1"/>
  <c r="M103" i="1"/>
  <c r="M105" i="1"/>
  <c r="M110" i="1"/>
  <c r="M113" i="1"/>
  <c r="M117" i="1"/>
  <c r="M118" i="1"/>
  <c r="M122" i="1"/>
  <c r="M136" i="1"/>
  <c r="M137" i="1"/>
  <c r="M138" i="1"/>
  <c r="M147" i="1"/>
  <c r="M35" i="1"/>
  <c r="M84" i="1"/>
  <c r="M85" i="1"/>
  <c r="M97" i="1"/>
  <c r="M98" i="1"/>
  <c r="M99" i="1"/>
  <c r="M100" i="1"/>
  <c r="M108" i="1"/>
  <c r="M112" i="1"/>
  <c r="M140" i="1"/>
  <c r="M150" i="1"/>
  <c r="M26" i="1"/>
  <c r="M30" i="1"/>
  <c r="M32" i="1"/>
  <c r="M36" i="1"/>
  <c r="M75" i="1"/>
  <c r="M94" i="1"/>
  <c r="M102" i="1"/>
  <c r="M121" i="1"/>
  <c r="M126" i="1"/>
  <c r="M127" i="1"/>
  <c r="M128" i="1"/>
  <c r="M131" i="1"/>
  <c r="M133" i="1"/>
  <c r="M139" i="1"/>
  <c r="M141" i="1"/>
  <c r="M144" i="1"/>
  <c r="M148" i="1"/>
  <c r="M149" i="1"/>
  <c r="M151" i="1"/>
  <c r="M29" i="1"/>
  <c r="M82" i="1"/>
  <c r="M87" i="1"/>
  <c r="M89" i="1"/>
  <c r="M104" i="1"/>
  <c r="M109" i="1"/>
  <c r="M111" i="1"/>
  <c r="M7" i="1"/>
  <c r="M8" i="1"/>
  <c r="M9" i="1"/>
  <c r="M10" i="1"/>
  <c r="M11" i="1"/>
  <c r="M13" i="1"/>
  <c r="M14" i="1"/>
  <c r="M15" i="1"/>
  <c r="M16" i="1"/>
  <c r="M17" i="1"/>
  <c r="M18" i="1"/>
  <c r="M19" i="1"/>
  <c r="M20" i="1"/>
  <c r="M21" i="1"/>
  <c r="M22" i="1"/>
  <c r="M23" i="1"/>
  <c r="M24" i="1"/>
  <c r="M31" i="1"/>
  <c r="M37" i="1"/>
  <c r="M38" i="1"/>
  <c r="M40" i="1"/>
  <c r="M41" i="1"/>
  <c r="M42" i="1"/>
  <c r="M43" i="1"/>
  <c r="M44" i="1"/>
  <c r="M45" i="1"/>
  <c r="M46" i="1"/>
  <c r="L49" i="1"/>
  <c r="M51" i="1"/>
  <c r="M52" i="1"/>
  <c r="M53" i="1"/>
  <c r="M54" i="1"/>
  <c r="M55" i="1"/>
  <c r="M56" i="1"/>
  <c r="M57" i="1"/>
  <c r="M59" i="1"/>
  <c r="M60" i="1"/>
  <c r="M61" i="1"/>
  <c r="M65" i="1"/>
  <c r="M66" i="1"/>
  <c r="M67" i="1"/>
  <c r="M68" i="1"/>
  <c r="M69" i="1"/>
  <c r="M70" i="1"/>
  <c r="M71" i="1"/>
  <c r="M72" i="1"/>
  <c r="M73" i="1"/>
  <c r="K62" i="1"/>
  <c r="K92" i="1"/>
  <c r="K101" i="1"/>
  <c r="K130" i="1"/>
  <c r="K39" i="1"/>
  <c r="K106" i="1"/>
  <c r="K115" i="1"/>
  <c r="K143" i="1"/>
  <c r="K47" i="1"/>
  <c r="K135" i="1"/>
  <c r="K12" i="1"/>
  <c r="K36" i="1"/>
  <c r="K38" i="1"/>
  <c r="K40" i="1"/>
  <c r="K41" i="1"/>
  <c r="K42" i="1"/>
  <c r="K43" i="1"/>
  <c r="K44" i="1"/>
  <c r="K45" i="1"/>
  <c r="K46" i="1"/>
  <c r="J49" i="1"/>
  <c r="K51" i="1"/>
  <c r="K52" i="1"/>
  <c r="K53" i="1"/>
  <c r="K54" i="1"/>
  <c r="K55" i="1"/>
  <c r="K56" i="1"/>
  <c r="K57" i="1"/>
  <c r="K59" i="1"/>
  <c r="K60" i="1"/>
  <c r="K61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84" i="1"/>
  <c r="K108" i="1"/>
  <c r="K109" i="1"/>
  <c r="K118" i="1"/>
  <c r="K126" i="1"/>
  <c r="K131" i="1"/>
  <c r="K133" i="1"/>
  <c r="K138" i="1"/>
  <c r="K141" i="1"/>
  <c r="K147" i="1"/>
  <c r="K148" i="1"/>
  <c r="K149" i="1"/>
  <c r="K151" i="1"/>
  <c r="K30" i="1"/>
  <c r="K32" i="1"/>
  <c r="K33" i="1"/>
  <c r="K88" i="1"/>
  <c r="K91" i="1"/>
  <c r="K98" i="1"/>
  <c r="K100" i="1"/>
  <c r="K104" i="1"/>
  <c r="K111" i="1"/>
  <c r="K114" i="1"/>
  <c r="K120" i="1"/>
  <c r="K134" i="1"/>
  <c r="K142" i="1"/>
  <c r="K144" i="1"/>
  <c r="K29" i="1"/>
  <c r="K37" i="1"/>
  <c r="K80" i="1"/>
  <c r="K81" i="1"/>
  <c r="K82" i="1"/>
  <c r="K86" i="1"/>
  <c r="K89" i="1"/>
  <c r="K93" i="1"/>
  <c r="K95" i="1"/>
  <c r="K96" i="1"/>
  <c r="K110" i="1"/>
  <c r="K128" i="1"/>
  <c r="K132" i="1"/>
  <c r="K137" i="1"/>
  <c r="K139" i="1"/>
  <c r="K155" i="1"/>
  <c r="K27" i="1"/>
  <c r="K87" i="1"/>
  <c r="K97" i="1"/>
  <c r="K99" i="1"/>
  <c r="K105" i="1"/>
  <c r="K117" i="1"/>
  <c r="K119" i="1"/>
  <c r="K122" i="1"/>
  <c r="K129" i="1"/>
  <c r="K136" i="1"/>
  <c r="K146" i="1"/>
  <c r="K150" i="1"/>
  <c r="K152" i="1"/>
  <c r="K31" i="1"/>
  <c r="K35" i="1"/>
  <c r="K79" i="1"/>
  <c r="K85" i="1"/>
  <c r="K90" i="1"/>
  <c r="K94" i="1"/>
  <c r="K102" i="1"/>
  <c r="K103" i="1"/>
  <c r="K107" i="1"/>
  <c r="K112" i="1"/>
  <c r="K113" i="1"/>
  <c r="K121" i="1"/>
  <c r="K123" i="1"/>
  <c r="K124" i="1"/>
  <c r="K127" i="1"/>
  <c r="K7" i="1"/>
  <c r="K8" i="1"/>
  <c r="K9" i="1"/>
  <c r="K10" i="1"/>
  <c r="K11" i="1"/>
  <c r="K13" i="1"/>
  <c r="K14" i="1"/>
  <c r="K15" i="1"/>
  <c r="K16" i="1"/>
  <c r="K17" i="1"/>
  <c r="K18" i="1"/>
  <c r="K19" i="1"/>
  <c r="K20" i="1"/>
  <c r="K21" i="1"/>
  <c r="K22" i="1"/>
  <c r="K23" i="1"/>
  <c r="K24" i="1"/>
  <c r="K26" i="1"/>
  <c r="I47" i="1"/>
  <c r="I143" i="1"/>
  <c r="I101" i="1"/>
  <c r="I39" i="1"/>
  <c r="I62" i="1"/>
  <c r="I92" i="1"/>
  <c r="I106" i="1"/>
  <c r="I130" i="1"/>
  <c r="I135" i="1"/>
  <c r="I115" i="1"/>
  <c r="I12" i="1"/>
  <c r="I29" i="1"/>
  <c r="I84" i="1"/>
  <c r="I94" i="1"/>
  <c r="I102" i="1"/>
  <c r="I112" i="1"/>
  <c r="I123" i="1"/>
  <c r="I124" i="1"/>
  <c r="I126" i="1"/>
  <c r="I133" i="1"/>
  <c r="I138" i="1"/>
  <c r="I148" i="1"/>
  <c r="I151" i="1"/>
  <c r="I26" i="1"/>
  <c r="I27" i="1"/>
  <c r="I75" i="1"/>
  <c r="I78" i="1"/>
  <c r="I79" i="1"/>
  <c r="I87" i="1"/>
  <c r="I88" i="1"/>
  <c r="I103" i="1"/>
  <c r="I104" i="1"/>
  <c r="I105" i="1"/>
  <c r="I118" i="1"/>
  <c r="I119" i="1"/>
  <c r="I121" i="1"/>
  <c r="I122" i="1"/>
  <c r="I127" i="1"/>
  <c r="I129" i="1"/>
  <c r="I131" i="1"/>
  <c r="I141" i="1"/>
  <c r="I146" i="1"/>
  <c r="I147" i="1"/>
  <c r="I149" i="1"/>
  <c r="I31" i="1"/>
  <c r="I33" i="1"/>
  <c r="I37" i="1"/>
  <c r="I76" i="1"/>
  <c r="I77" i="1"/>
  <c r="I81" i="1"/>
  <c r="I85" i="1"/>
  <c r="I86" i="1"/>
  <c r="I90" i="1"/>
  <c r="I95" i="1"/>
  <c r="I96" i="1"/>
  <c r="I107" i="1"/>
  <c r="I108" i="1"/>
  <c r="I109" i="1"/>
  <c r="I113" i="1"/>
  <c r="I120" i="1"/>
  <c r="I134" i="1"/>
  <c r="I142" i="1"/>
  <c r="I155" i="1"/>
  <c r="I36" i="1"/>
  <c r="I80" i="1"/>
  <c r="I91" i="1"/>
  <c r="I93" i="1"/>
  <c r="I97" i="1"/>
  <c r="I111" i="1"/>
  <c r="I114" i="1"/>
  <c r="I7" i="1"/>
  <c r="I8" i="1"/>
  <c r="I9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35" i="1"/>
  <c r="I38" i="1"/>
  <c r="I40" i="1"/>
  <c r="I41" i="1"/>
  <c r="I42" i="1"/>
  <c r="I43" i="1"/>
  <c r="I44" i="1"/>
  <c r="I45" i="1"/>
  <c r="I46" i="1"/>
  <c r="H49" i="1"/>
  <c r="I51" i="1"/>
  <c r="I52" i="1"/>
  <c r="I53" i="1"/>
  <c r="I54" i="1"/>
  <c r="I55" i="1"/>
  <c r="I56" i="1"/>
  <c r="I57" i="1"/>
  <c r="I59" i="1"/>
  <c r="I60" i="1"/>
  <c r="I61" i="1"/>
  <c r="I65" i="1"/>
  <c r="I66" i="1"/>
  <c r="I67" i="1"/>
  <c r="I68" i="1"/>
  <c r="I69" i="1"/>
  <c r="I70" i="1"/>
  <c r="I71" i="1"/>
  <c r="I72" i="1"/>
  <c r="I73" i="1"/>
  <c r="I74" i="1"/>
  <c r="I30" i="1"/>
  <c r="I32" i="1"/>
  <c r="I82" i="1"/>
  <c r="I89" i="1"/>
  <c r="I98" i="1"/>
  <c r="I99" i="1"/>
  <c r="I100" i="1"/>
  <c r="I110" i="1"/>
  <c r="I117" i="1"/>
  <c r="I128" i="1"/>
  <c r="I132" i="1"/>
  <c r="I136" i="1"/>
  <c r="I137" i="1"/>
  <c r="I139" i="1"/>
  <c r="I140" i="1"/>
  <c r="I144" i="1"/>
  <c r="I150" i="1"/>
  <c r="I152" i="1"/>
  <c r="G39" i="1"/>
  <c r="G106" i="1"/>
  <c r="G92" i="1"/>
  <c r="G115" i="1"/>
  <c r="G47" i="1"/>
  <c r="G62" i="1"/>
  <c r="G101" i="1"/>
  <c r="G130" i="1"/>
  <c r="G135" i="1"/>
  <c r="G143" i="1"/>
  <c r="G12" i="1"/>
  <c r="G29" i="1"/>
  <c r="G35" i="1"/>
  <c r="G77" i="1"/>
  <c r="G80" i="1"/>
  <c r="G87" i="1"/>
  <c r="G88" i="1"/>
  <c r="G93" i="1"/>
  <c r="G94" i="1"/>
  <c r="G95" i="1"/>
  <c r="G96" i="1"/>
  <c r="G103" i="1"/>
  <c r="G105" i="1"/>
  <c r="G107" i="1"/>
  <c r="G113" i="1"/>
  <c r="G121" i="1"/>
  <c r="G122" i="1"/>
  <c r="G127" i="1"/>
  <c r="G134" i="1"/>
  <c r="G146" i="1"/>
  <c r="G149" i="1"/>
  <c r="G151" i="1"/>
  <c r="G155" i="1"/>
  <c r="G26" i="1"/>
  <c r="G31" i="1"/>
  <c r="G75" i="1"/>
  <c r="G76" i="1"/>
  <c r="G81" i="1"/>
  <c r="G85" i="1"/>
  <c r="G89" i="1"/>
  <c r="G90" i="1"/>
  <c r="G97" i="1"/>
  <c r="G110" i="1"/>
  <c r="G117" i="1"/>
  <c r="G119" i="1"/>
  <c r="G129" i="1"/>
  <c r="G136" i="1"/>
  <c r="G147" i="1"/>
  <c r="G150" i="1"/>
  <c r="G152" i="1"/>
  <c r="G36" i="1"/>
  <c r="G84" i="1"/>
  <c r="G99" i="1"/>
  <c r="G102" i="1"/>
  <c r="G109" i="1"/>
  <c r="G111" i="1"/>
  <c r="G112" i="1"/>
  <c r="G126" i="1"/>
  <c r="G132" i="1"/>
  <c r="G133" i="1"/>
  <c r="G137" i="1"/>
  <c r="G138" i="1"/>
  <c r="G140" i="1"/>
  <c r="G142" i="1"/>
  <c r="G144" i="1"/>
  <c r="G27" i="1"/>
  <c r="G79" i="1"/>
  <c r="G82" i="1"/>
  <c r="G91" i="1"/>
  <c r="G98" i="1"/>
  <c r="G104" i="1"/>
  <c r="G114" i="1"/>
  <c r="G118" i="1"/>
  <c r="G123" i="1"/>
  <c r="G124" i="1"/>
  <c r="G128" i="1"/>
  <c r="G131" i="1"/>
  <c r="G139" i="1"/>
  <c r="G141" i="1"/>
  <c r="G148" i="1"/>
  <c r="G78" i="1"/>
  <c r="G86" i="1"/>
  <c r="G100" i="1"/>
  <c r="G108" i="1"/>
  <c r="G120" i="1"/>
  <c r="G7" i="1"/>
  <c r="G8" i="1"/>
  <c r="G9" i="1"/>
  <c r="G10" i="1"/>
  <c r="G11" i="1"/>
  <c r="G13" i="1"/>
  <c r="G14" i="1"/>
  <c r="G15" i="1"/>
  <c r="G16" i="1"/>
  <c r="G17" i="1"/>
  <c r="G18" i="1"/>
  <c r="G19" i="1"/>
  <c r="G20" i="1"/>
  <c r="G21" i="1"/>
  <c r="G22" i="1"/>
  <c r="G23" i="1"/>
  <c r="G24" i="1"/>
  <c r="G30" i="1"/>
  <c r="G32" i="1"/>
  <c r="G33" i="1"/>
  <c r="G37" i="1"/>
  <c r="G38" i="1"/>
  <c r="G40" i="1"/>
  <c r="G41" i="1"/>
  <c r="G42" i="1"/>
  <c r="G43" i="1"/>
  <c r="G44" i="1"/>
  <c r="G45" i="1"/>
  <c r="G46" i="1"/>
  <c r="F49" i="1"/>
  <c r="G51" i="1"/>
  <c r="G52" i="1"/>
  <c r="G53" i="1"/>
  <c r="G54" i="1"/>
  <c r="G55" i="1"/>
  <c r="G56" i="1"/>
  <c r="G57" i="1"/>
  <c r="G59" i="1"/>
  <c r="G60" i="1"/>
  <c r="G61" i="1"/>
  <c r="G65" i="1"/>
  <c r="G66" i="1"/>
  <c r="G67" i="1"/>
  <c r="G68" i="1"/>
  <c r="G69" i="1"/>
  <c r="G70" i="1"/>
  <c r="G71" i="1"/>
  <c r="G72" i="1"/>
  <c r="G73" i="1"/>
  <c r="G74" i="1"/>
  <c r="E47" i="1"/>
  <c r="E92" i="1"/>
  <c r="E106" i="1"/>
  <c r="E135" i="1"/>
  <c r="E143" i="1"/>
  <c r="E39" i="1"/>
  <c r="E62" i="1"/>
  <c r="E101" i="1"/>
  <c r="E115" i="1"/>
  <c r="E130" i="1"/>
  <c r="E12" i="1"/>
  <c r="E36" i="1"/>
  <c r="E75" i="1"/>
  <c r="E84" i="1"/>
  <c r="E88" i="1"/>
  <c r="E93" i="1"/>
  <c r="E94" i="1"/>
  <c r="E99" i="1"/>
  <c r="E100" i="1"/>
  <c r="E105" i="1"/>
  <c r="E117" i="1"/>
  <c r="E121" i="1"/>
  <c r="E133" i="1"/>
  <c r="E144" i="1"/>
  <c r="E151" i="1"/>
  <c r="E27" i="1"/>
  <c r="E30" i="1"/>
  <c r="E82" i="1"/>
  <c r="E89" i="1"/>
  <c r="E109" i="1"/>
  <c r="E110" i="1"/>
  <c r="E118" i="1"/>
  <c r="E122" i="1"/>
  <c r="E7" i="1"/>
  <c r="E8" i="1"/>
  <c r="E9" i="1"/>
  <c r="E10" i="1"/>
  <c r="E11" i="1"/>
  <c r="E13" i="1"/>
  <c r="E14" i="1"/>
  <c r="E15" i="1"/>
  <c r="E16" i="1"/>
  <c r="E17" i="1"/>
  <c r="E18" i="1"/>
  <c r="E19" i="1"/>
  <c r="E20" i="1"/>
  <c r="E21" i="1"/>
  <c r="E22" i="1"/>
  <c r="E23" i="1"/>
  <c r="E24" i="1"/>
  <c r="E29" i="1"/>
  <c r="E38" i="1"/>
  <c r="E40" i="1"/>
  <c r="E41" i="1"/>
  <c r="E42" i="1"/>
  <c r="E43" i="1"/>
  <c r="E44" i="1"/>
  <c r="E45" i="1"/>
  <c r="E46" i="1"/>
  <c r="D49" i="1"/>
  <c r="E51" i="1"/>
  <c r="E52" i="1"/>
  <c r="E53" i="1"/>
  <c r="E54" i="1"/>
  <c r="E55" i="1"/>
  <c r="E56" i="1"/>
  <c r="E57" i="1"/>
  <c r="E59" i="1"/>
  <c r="E60" i="1"/>
  <c r="E61" i="1"/>
  <c r="E65" i="1"/>
  <c r="E66" i="1"/>
  <c r="E67" i="1"/>
  <c r="E68" i="1"/>
  <c r="E69" i="1"/>
  <c r="E70" i="1"/>
  <c r="E71" i="1"/>
  <c r="E72" i="1"/>
  <c r="E73" i="1"/>
  <c r="E74" i="1"/>
  <c r="E31" i="1"/>
  <c r="E76" i="1"/>
  <c r="E79" i="1"/>
  <c r="E81" i="1"/>
  <c r="E90" i="1"/>
  <c r="E91" i="1"/>
  <c r="E102" i="1"/>
  <c r="E104" i="1"/>
  <c r="E111" i="1"/>
  <c r="E112" i="1"/>
  <c r="E114" i="1"/>
  <c r="E119" i="1"/>
  <c r="E124" i="1"/>
  <c r="E126" i="1"/>
  <c r="E129" i="1"/>
  <c r="E131" i="1"/>
  <c r="E132" i="1"/>
  <c r="E138" i="1"/>
  <c r="E139" i="1"/>
  <c r="E141" i="1"/>
  <c r="E142" i="1"/>
  <c r="E147" i="1"/>
  <c r="E148" i="1"/>
  <c r="E32" i="1"/>
  <c r="E35" i="1"/>
  <c r="E37" i="1"/>
  <c r="E77" i="1"/>
  <c r="E78" i="1"/>
  <c r="E86" i="1"/>
  <c r="E87" i="1"/>
  <c r="E95" i="1"/>
  <c r="E96" i="1"/>
  <c r="E103" i="1"/>
  <c r="E107" i="1"/>
  <c r="E113" i="1"/>
  <c r="E127" i="1"/>
  <c r="E137" i="1"/>
  <c r="E140" i="1"/>
  <c r="E146" i="1"/>
  <c r="E149" i="1"/>
  <c r="E33" i="1"/>
  <c r="E80" i="1"/>
  <c r="E85" i="1"/>
  <c r="E97" i="1"/>
  <c r="E98" i="1"/>
  <c r="E108" i="1"/>
  <c r="E120" i="1"/>
  <c r="E123" i="1"/>
  <c r="E128" i="1"/>
  <c r="E134" i="1"/>
  <c r="E136" i="1"/>
  <c r="E150" i="1"/>
  <c r="E152" i="1"/>
  <c r="E155" i="1"/>
  <c r="E26" i="1"/>
  <c r="C75" i="1"/>
  <c r="C91" i="1"/>
  <c r="C98" i="1"/>
  <c r="C105" i="1"/>
  <c r="C111" i="1"/>
  <c r="C121" i="1"/>
  <c r="C134" i="1"/>
  <c r="C138" i="1"/>
  <c r="C142" i="1"/>
  <c r="C144" i="1"/>
  <c r="C151" i="1"/>
  <c r="C27" i="1"/>
  <c r="C32" i="1"/>
  <c r="C37" i="1"/>
  <c r="C82" i="1"/>
  <c r="C86" i="1"/>
  <c r="C87" i="1"/>
  <c r="C88" i="1"/>
  <c r="C93" i="1"/>
  <c r="C96" i="1"/>
  <c r="C100" i="1"/>
  <c r="C110" i="1"/>
  <c r="C113" i="1"/>
  <c r="C122" i="1"/>
  <c r="C129" i="1"/>
  <c r="C131" i="1"/>
  <c r="C146" i="1"/>
  <c r="C148" i="1"/>
  <c r="C29" i="1"/>
  <c r="C30" i="1"/>
  <c r="C76" i="1"/>
  <c r="C77" i="1"/>
  <c r="C95" i="1"/>
  <c r="C97" i="1"/>
  <c r="C107" i="1"/>
  <c r="C119" i="1"/>
  <c r="C139" i="1"/>
  <c r="C141" i="1"/>
  <c r="C147" i="1"/>
  <c r="C149" i="1"/>
  <c r="C150" i="1"/>
  <c r="C152" i="1"/>
  <c r="C155" i="1"/>
  <c r="X27" i="1"/>
  <c r="C35" i="1"/>
  <c r="C79" i="1"/>
  <c r="C80" i="1"/>
  <c r="C81" i="1"/>
  <c r="C84" i="1"/>
  <c r="C85" i="1"/>
  <c r="C90" i="1"/>
  <c r="C94" i="1"/>
  <c r="C102" i="1"/>
  <c r="C103" i="1"/>
  <c r="C104" i="1"/>
  <c r="C112" i="1"/>
  <c r="C114" i="1"/>
  <c r="C123" i="1"/>
  <c r="C124" i="1"/>
  <c r="C126" i="1"/>
  <c r="C127" i="1"/>
  <c r="C7" i="1"/>
  <c r="C8" i="1"/>
  <c r="C9" i="1"/>
  <c r="C10" i="1"/>
  <c r="C11" i="1"/>
  <c r="C13" i="1"/>
  <c r="C14" i="1"/>
  <c r="C15" i="1"/>
  <c r="C16" i="1"/>
  <c r="C17" i="1"/>
  <c r="C18" i="1"/>
  <c r="C19" i="1"/>
  <c r="C20" i="1"/>
  <c r="C21" i="1"/>
  <c r="C22" i="1"/>
  <c r="C23" i="1"/>
  <c r="C24" i="1"/>
  <c r="C31" i="1"/>
  <c r="C36" i="1"/>
  <c r="C38" i="1"/>
  <c r="C40" i="1"/>
  <c r="C41" i="1"/>
  <c r="C42" i="1"/>
  <c r="C43" i="1"/>
  <c r="C44" i="1"/>
  <c r="C45" i="1"/>
  <c r="C46" i="1"/>
  <c r="B49" i="1"/>
  <c r="C51" i="1"/>
  <c r="C52" i="1"/>
  <c r="C53" i="1"/>
  <c r="C54" i="1"/>
  <c r="C55" i="1"/>
  <c r="C56" i="1"/>
  <c r="C57" i="1"/>
  <c r="C59" i="1"/>
  <c r="C60" i="1"/>
  <c r="C61" i="1"/>
  <c r="C65" i="1"/>
  <c r="C66" i="1"/>
  <c r="C67" i="1"/>
  <c r="C68" i="1"/>
  <c r="C69" i="1"/>
  <c r="C70" i="1"/>
  <c r="C71" i="1"/>
  <c r="C72" i="1"/>
  <c r="C73" i="1"/>
  <c r="C74" i="1"/>
  <c r="C26" i="1"/>
  <c r="C33" i="1"/>
  <c r="C78" i="1"/>
  <c r="C89" i="1"/>
  <c r="C99" i="1"/>
  <c r="C108" i="1"/>
  <c r="C109" i="1"/>
  <c r="C117" i="1"/>
  <c r="C118" i="1"/>
  <c r="C120" i="1"/>
  <c r="C128" i="1"/>
  <c r="C132" i="1"/>
  <c r="C133" i="1"/>
  <c r="C136" i="1"/>
  <c r="C137" i="1"/>
  <c r="C140" i="1"/>
  <c r="M145" i="1"/>
  <c r="Q116" i="1"/>
  <c r="G116" i="1"/>
  <c r="I154" i="1"/>
  <c r="W145" i="1"/>
  <c r="O145" i="1"/>
  <c r="I145" i="1"/>
  <c r="W116" i="1"/>
  <c r="I116" i="1"/>
  <c r="O48" i="1"/>
  <c r="E48" i="1"/>
  <c r="K145" i="1"/>
  <c r="O116" i="1"/>
  <c r="U48" i="1"/>
  <c r="I48" i="1"/>
  <c r="K154" i="1"/>
  <c r="E116" i="1"/>
  <c r="K48" i="1"/>
  <c r="W154" i="1"/>
  <c r="S154" i="1"/>
  <c r="O154" i="1"/>
  <c r="G154" i="1"/>
  <c r="S145" i="1"/>
  <c r="E145" i="1"/>
  <c r="S116" i="1"/>
  <c r="K116" i="1"/>
  <c r="S48" i="1"/>
  <c r="M48" i="1"/>
  <c r="G48" i="1"/>
  <c r="U154" i="1"/>
  <c r="Q154" i="1"/>
  <c r="M154" i="1"/>
  <c r="E154" i="1"/>
  <c r="Q145" i="1"/>
  <c r="G145" i="1"/>
  <c r="U116" i="1"/>
  <c r="M116" i="1"/>
  <c r="W48" i="1"/>
  <c r="Q48" i="1"/>
  <c r="W153" i="1"/>
  <c r="W25" i="1"/>
  <c r="W58" i="1"/>
  <c r="W83" i="1"/>
  <c r="W34" i="1"/>
  <c r="W125" i="1"/>
  <c r="U86" i="1"/>
  <c r="U83" i="1"/>
  <c r="U34" i="1"/>
  <c r="U58" i="1"/>
  <c r="U25" i="1"/>
  <c r="U153" i="1"/>
  <c r="S34" i="1"/>
  <c r="S83" i="1"/>
  <c r="S125" i="1"/>
  <c r="S58" i="1"/>
  <c r="S25" i="1"/>
  <c r="S153" i="1"/>
  <c r="Q153" i="1"/>
  <c r="Q34" i="1"/>
  <c r="Q25" i="1"/>
  <c r="Q125" i="1"/>
  <c r="Q83" i="1"/>
  <c r="Q58" i="1"/>
  <c r="O125" i="1"/>
  <c r="O25" i="1"/>
  <c r="O34" i="1"/>
  <c r="O153" i="1"/>
  <c r="O83" i="1"/>
  <c r="O58" i="1"/>
  <c r="M25" i="1"/>
  <c r="M58" i="1"/>
  <c r="M83" i="1"/>
  <c r="M125" i="1"/>
  <c r="M34" i="1"/>
  <c r="M153" i="1"/>
  <c r="K25" i="1"/>
  <c r="K34" i="1"/>
  <c r="K153" i="1"/>
  <c r="K125" i="1"/>
  <c r="K140" i="1"/>
  <c r="K83" i="1"/>
  <c r="K58" i="1"/>
  <c r="I25" i="1"/>
  <c r="I58" i="1"/>
  <c r="I153" i="1"/>
  <c r="I125" i="1"/>
  <c r="I83" i="1"/>
  <c r="I34" i="1"/>
  <c r="G25" i="1"/>
  <c r="G153" i="1"/>
  <c r="G125" i="1"/>
  <c r="G83" i="1"/>
  <c r="G34" i="1"/>
  <c r="G58" i="1"/>
  <c r="E58" i="1"/>
  <c r="E125" i="1"/>
  <c r="E83" i="1"/>
  <c r="E34" i="1"/>
  <c r="E25" i="1"/>
  <c r="E153" i="1"/>
  <c r="C143" i="1"/>
  <c r="C130" i="1"/>
  <c r="C101" i="1"/>
  <c r="C83" i="1"/>
  <c r="C62" i="1"/>
  <c r="C125" i="1"/>
  <c r="C115" i="1"/>
  <c r="C106" i="1"/>
  <c r="C92" i="1"/>
  <c r="C153" i="1"/>
  <c r="C58" i="1"/>
  <c r="C135" i="1"/>
  <c r="C34" i="1"/>
  <c r="C47" i="1"/>
  <c r="C39" i="1"/>
  <c r="C25" i="1"/>
  <c r="X156" i="1" l="1"/>
  <c r="Y156" i="1" s="1"/>
  <c r="C156" i="1"/>
  <c r="W49" i="1"/>
  <c r="V157" i="1"/>
  <c r="U49" i="1"/>
  <c r="T157" i="1"/>
  <c r="S49" i="1"/>
  <c r="R157" i="1"/>
  <c r="Q49" i="1"/>
  <c r="P157" i="1"/>
  <c r="O49" i="1"/>
  <c r="N157" i="1"/>
  <c r="M49" i="1"/>
  <c r="L157" i="1"/>
  <c r="K49" i="1"/>
  <c r="J157" i="1"/>
  <c r="I49" i="1"/>
  <c r="H157" i="1"/>
  <c r="G49" i="1"/>
  <c r="F157" i="1"/>
  <c r="E49" i="1"/>
  <c r="D157" i="1"/>
  <c r="Y12" i="1"/>
  <c r="Y92" i="1"/>
  <c r="Y130" i="1"/>
  <c r="Y153" i="1"/>
  <c r="Y83" i="1"/>
  <c r="Y86" i="1"/>
  <c r="Y106" i="1"/>
  <c r="Y135" i="1"/>
  <c r="Y143" i="1"/>
  <c r="Y39" i="1"/>
  <c r="Y34" i="1"/>
  <c r="Y62" i="1"/>
  <c r="Y101" i="1"/>
  <c r="Y125" i="1"/>
  <c r="Y140" i="1"/>
  <c r="Y25" i="1"/>
  <c r="Y47" i="1"/>
  <c r="Y58" i="1"/>
  <c r="Y115" i="1"/>
  <c r="Y22" i="1"/>
  <c r="Y31" i="1"/>
  <c r="Y41" i="1"/>
  <c r="Y45" i="1"/>
  <c r="Y60" i="1"/>
  <c r="Y67" i="1"/>
  <c r="Y72" i="1"/>
  <c r="Y78" i="1"/>
  <c r="Y89" i="1"/>
  <c r="Y94" i="1"/>
  <c r="Y99" i="1"/>
  <c r="Y107" i="1"/>
  <c r="Y112" i="1"/>
  <c r="Y119" i="1"/>
  <c r="Y122" i="1"/>
  <c r="Y127" i="1"/>
  <c r="Y134" i="1"/>
  <c r="Y137" i="1"/>
  <c r="Y142" i="1"/>
  <c r="Y147" i="1"/>
  <c r="Y150" i="1"/>
  <c r="Y26" i="1"/>
  <c r="Y37" i="1"/>
  <c r="Y40" i="1"/>
  <c r="Y57" i="1"/>
  <c r="Y68" i="1"/>
  <c r="Y73" i="1"/>
  <c r="Y76" i="1"/>
  <c r="Y79" i="1"/>
  <c r="Y82" i="1"/>
  <c r="Y93" i="1"/>
  <c r="Y96" i="1"/>
  <c r="Y100" i="1"/>
  <c r="Y103" i="1"/>
  <c r="Y108" i="1"/>
  <c r="Y109" i="1"/>
  <c r="Y113" i="1"/>
  <c r="Y121" i="1"/>
  <c r="Y124" i="1"/>
  <c r="Y129" i="1"/>
  <c r="Y132" i="1"/>
  <c r="Y136" i="1"/>
  <c r="Y144" i="1"/>
  <c r="Y148" i="1"/>
  <c r="Y152" i="1"/>
  <c r="Y155" i="1"/>
  <c r="Y23" i="1"/>
  <c r="Y32" i="1"/>
  <c r="Y44" i="1"/>
  <c r="Y53" i="1"/>
  <c r="Y61" i="1"/>
  <c r="Y75" i="1"/>
  <c r="Y21" i="1"/>
  <c r="Y24" i="1"/>
  <c r="Y36" i="1"/>
  <c r="Y46" i="1"/>
  <c r="Y55" i="1"/>
  <c r="Y71" i="1"/>
  <c r="Y77" i="1"/>
  <c r="Y80" i="1"/>
  <c r="Y88" i="1"/>
  <c r="Y90" i="1"/>
  <c r="Y97" i="1"/>
  <c r="Y104" i="1"/>
  <c r="Y111" i="1"/>
  <c r="Y133" i="1"/>
  <c r="Y138" i="1"/>
  <c r="Y151" i="1"/>
  <c r="Y20" i="1"/>
  <c r="Y33" i="1"/>
  <c r="Y38" i="1"/>
  <c r="Y43" i="1"/>
  <c r="Y56" i="1"/>
  <c r="Y66" i="1"/>
  <c r="Y70" i="1"/>
  <c r="Y74" i="1"/>
  <c r="Y81" i="1"/>
  <c r="Y85" i="1"/>
  <c r="Y91" i="1"/>
  <c r="Y95" i="1"/>
  <c r="Y98" i="1"/>
  <c r="Y105" i="1"/>
  <c r="Y110" i="1"/>
  <c r="Y114" i="1"/>
  <c r="Y120" i="1"/>
  <c r="Y123" i="1"/>
  <c r="Y128" i="1"/>
  <c r="Y139" i="1"/>
  <c r="Y8" i="1"/>
  <c r="Y10" i="1"/>
  <c r="Y11" i="1"/>
  <c r="Y13" i="1"/>
  <c r="Y15" i="1"/>
  <c r="Y16" i="1"/>
  <c r="Y17" i="1"/>
  <c r="Y18" i="1"/>
  <c r="Y19" i="1"/>
  <c r="Y9" i="1"/>
  <c r="Y14" i="1"/>
  <c r="Y42" i="1"/>
  <c r="Y52" i="1"/>
  <c r="Y54" i="1"/>
  <c r="Y59" i="1"/>
  <c r="Y65" i="1"/>
  <c r="Y69" i="1"/>
  <c r="Y84" i="1"/>
  <c r="Y35" i="1"/>
  <c r="Y87" i="1"/>
  <c r="Y117" i="1"/>
  <c r="Y149" i="1"/>
  <c r="Y27" i="1"/>
  <c r="Y102" i="1"/>
  <c r="Y118" i="1"/>
  <c r="Y126" i="1"/>
  <c r="Y131" i="1"/>
  <c r="Y146" i="1"/>
  <c r="Y30" i="1"/>
  <c r="Y141" i="1"/>
  <c r="C49" i="1"/>
  <c r="X49" i="1"/>
  <c r="Y49" i="1" s="1"/>
  <c r="B157" i="1"/>
  <c r="Y145" i="1"/>
  <c r="Y63" i="1"/>
  <c r="Y48" i="1"/>
  <c r="Y154" i="1"/>
  <c r="Y116" i="1"/>
  <c r="W157" i="1" l="1"/>
  <c r="U157" i="1"/>
  <c r="S157" i="1"/>
  <c r="Q157" i="1"/>
  <c r="O157" i="1"/>
  <c r="M157" i="1"/>
  <c r="K157" i="1"/>
  <c r="I157" i="1"/>
  <c r="G157" i="1"/>
  <c r="E157" i="1"/>
  <c r="C157" i="1"/>
  <c r="X157" i="1"/>
  <c r="Y157" i="1" s="1"/>
</calcChain>
</file>

<file path=xl/sharedStrings.xml><?xml version="1.0" encoding="utf-8"?>
<sst xmlns="http://schemas.openxmlformats.org/spreadsheetml/2006/main" count="188" uniqueCount="167">
  <si>
    <t>Profit and Loss % of Total Income</t>
  </si>
  <si>
    <t>Aco Bakery Inc</t>
  </si>
  <si>
    <t>January-November, 2025</t>
  </si>
  <si>
    <t>Income</t>
  </si>
  <si>
    <t>400-000 Food Sales</t>
  </si>
  <si>
    <t>400-200 Beverage Sales</t>
  </si>
  <si>
    <t>400-210 Alcohol Bevs</t>
  </si>
  <si>
    <t>400-240 N/A Beverage</t>
  </si>
  <si>
    <t>Total for 400-200 Beverage Sales</t>
  </si>
  <si>
    <t>400-400 Comps / Discount</t>
  </si>
  <si>
    <t>400-500 Delivery Sales</t>
  </si>
  <si>
    <t>400-510 UberEats</t>
  </si>
  <si>
    <t>400-520 GrubHub</t>
  </si>
  <si>
    <t>400-530 DoorDash</t>
  </si>
  <si>
    <t>400-540 ezCater</t>
  </si>
  <si>
    <t>400-560 Fantuan</t>
  </si>
  <si>
    <t>400-570 HungryPanda</t>
  </si>
  <si>
    <t>400-580 ClassPass</t>
  </si>
  <si>
    <t>400-710 UberEats -Deli Promo (excl.tax)</t>
  </si>
  <si>
    <t>400-720 GrubHub - Deli Promo (excl.tax)</t>
  </si>
  <si>
    <t>400-730 DoorDash -Deli Promo (excl.tax)</t>
  </si>
  <si>
    <t>Total for 400-500 Delivery Sales</t>
  </si>
  <si>
    <t>400-800 Events\\ Off-Premise Sales</t>
  </si>
  <si>
    <t>Total for Income</t>
  </si>
  <si>
    <t>Cost of Goods Sold</t>
  </si>
  <si>
    <t>500-000 Food Cost</t>
  </si>
  <si>
    <t>500-003 Dairy</t>
  </si>
  <si>
    <t>500-004 Dry Goods</t>
  </si>
  <si>
    <t>500-006 Produce</t>
  </si>
  <si>
    <t>Total for 500-000 Food Cost</t>
  </si>
  <si>
    <t>500-200 Beverage Cost</t>
  </si>
  <si>
    <t>500-201 Beer/Wine/Cider</t>
  </si>
  <si>
    <t>500-202 Coffee/Tea</t>
  </si>
  <si>
    <t>500-203 Juice/Soda/Water</t>
  </si>
  <si>
    <t>Total for 500-200 Beverage Cost</t>
  </si>
  <si>
    <t>500-300 Commissary Food</t>
  </si>
  <si>
    <t>500-303 Ice Cream</t>
  </si>
  <si>
    <t>500-400 Direct Labor Cost</t>
  </si>
  <si>
    <t>500-501 Dishwasher</t>
  </si>
  <si>
    <t>500-502 Dishwasher OVERTIME</t>
  </si>
  <si>
    <t>500-533 Server/ Plater</t>
  </si>
  <si>
    <t>500-534 Server/ Plater OVERTIME</t>
  </si>
  <si>
    <t>Total for 500-400 Direct Labor Cost</t>
  </si>
  <si>
    <t>Total for Cost of Goods Sold</t>
  </si>
  <si>
    <t>Gross Profit</t>
  </si>
  <si>
    <t>Expenses</t>
  </si>
  <si>
    <t>599-350 Payroll Expenses</t>
  </si>
  <si>
    <t>599-440 Payroll Processing Fees</t>
  </si>
  <si>
    <t>599-450 Payroll Taxes &amp; Benefits</t>
  </si>
  <si>
    <t>599-500 Federal Unemployment Ins</t>
  </si>
  <si>
    <t>599-510 FICA Expense</t>
  </si>
  <si>
    <t>599-650 State Unemployment Ins</t>
  </si>
  <si>
    <t>Total for 599-450 Payroll Taxes &amp; Benefits</t>
  </si>
  <si>
    <t>599-660 Salaries &amp; Wages</t>
  </si>
  <si>
    <t>599-670 Admin/ Marketing</t>
  </si>
  <si>
    <t>599-890 Management</t>
  </si>
  <si>
    <t>Total for 599-660 Salaries &amp; Wages</t>
  </si>
  <si>
    <t>Total for 599-350 Payroll Expenses</t>
  </si>
  <si>
    <t>600-100 Direct Operating Costs</t>
  </si>
  <si>
    <t>600-101 Chace Royalty Fees</t>
  </si>
  <si>
    <t>600-102 Chace Depot Delivery Fees</t>
  </si>
  <si>
    <t>600-103 Credit Card Fees</t>
  </si>
  <si>
    <t>600-110 Delivery Service Fees</t>
  </si>
  <si>
    <t>600-111 UberEats Fees</t>
  </si>
  <si>
    <t>600-112 GrubHub Fees</t>
  </si>
  <si>
    <t>600-113 DoorDash Fees</t>
  </si>
  <si>
    <t>600-114 ezCater Fees</t>
  </si>
  <si>
    <t>600-116 Fantuan Fees</t>
  </si>
  <si>
    <t>600-117 HungryPanda Fees</t>
  </si>
  <si>
    <t>600-118 ClassPass Fees</t>
  </si>
  <si>
    <t>600-121 UberEats Fees - BOGO Promo</t>
  </si>
  <si>
    <t>600-122 UberEats Fees - Mkt/ Ads Promo</t>
  </si>
  <si>
    <t>600-123 GrubHub Fees - BOGO Promo</t>
  </si>
  <si>
    <t>600-124 GrubHub Fees - Mkt/ Ads Promo</t>
  </si>
  <si>
    <t>600-125 DoorDash Fees - BOGO Promo</t>
  </si>
  <si>
    <t>600-126 DoorDash Fees - Mkt/ Ads Promo</t>
  </si>
  <si>
    <t>Total for 600-110 Delivery Service Fees</t>
  </si>
  <si>
    <t>600-211 Events \\Special\\ Off-Premise</t>
  </si>
  <si>
    <t>600-215 Event Participation Fees</t>
  </si>
  <si>
    <t>Total for 600-211 Events \\Special\\ Off-Premise</t>
  </si>
  <si>
    <t>600-300 Contract Service Companies</t>
  </si>
  <si>
    <t>600-301 Dishwashing Company</t>
  </si>
  <si>
    <t>600-303 Garbage Removal</t>
  </si>
  <si>
    <t>600-304 Grease Removal</t>
  </si>
  <si>
    <t>600-305 Pest Control</t>
  </si>
  <si>
    <t>Total for 600-300 Contract Service Companies</t>
  </si>
  <si>
    <t>600-400 Marketing &amp; PR</t>
  </si>
  <si>
    <t>600-401 Advertising and Promotion</t>
  </si>
  <si>
    <t>600-402 Custom Packaging Design</t>
  </si>
  <si>
    <t>600-404 Branding</t>
  </si>
  <si>
    <t>600-405 Photography</t>
  </si>
  <si>
    <t>600-406 Printing, Cutting, Laminating</t>
  </si>
  <si>
    <t>600-407 Social Media</t>
  </si>
  <si>
    <t>600-408 Website</t>
  </si>
  <si>
    <t>Total for 600-400 Marketing &amp; PR</t>
  </si>
  <si>
    <t>600-500 Repairs &amp; Maintenance</t>
  </si>
  <si>
    <t>600-504 Kitchen Repairs</t>
  </si>
  <si>
    <t>600-505 Labor, Repair/Maint (internal)</t>
  </si>
  <si>
    <t>600-506 Tools &amp; Materials</t>
  </si>
  <si>
    <t>Total for 600-500 Repairs &amp; Maintenance</t>
  </si>
  <si>
    <t>600-600 Restaurant/Kitchen Supplies</t>
  </si>
  <si>
    <t>600-601 Cleaning Supplies</t>
  </si>
  <si>
    <t>600-602 Disposables</t>
  </si>
  <si>
    <t>600-603 Linen</t>
  </si>
  <si>
    <t>600-605 Office Supplies</t>
  </si>
  <si>
    <t>600-606 Smallware</t>
  </si>
  <si>
    <t>600-607 Tools/Equipments/General</t>
  </si>
  <si>
    <t>600-608 Uniforms</t>
  </si>
  <si>
    <t>Total for 600-600 Restaurant/Kitchen Supplies</t>
  </si>
  <si>
    <t>Total for 600-100 Direct Operating Costs</t>
  </si>
  <si>
    <t>601-000 General &amp; Administrative</t>
  </si>
  <si>
    <t>601-100 Expenses - Misc.</t>
  </si>
  <si>
    <t>601-200 Annual Year End Party</t>
  </si>
  <si>
    <t>601-210 Bank Service Charges</t>
  </si>
  <si>
    <t>601-220 Donations</t>
  </si>
  <si>
    <t>601-240 Ground Transportation</t>
  </si>
  <si>
    <t>601-250 Meals and Entertainment</t>
  </si>
  <si>
    <t>601-270 Over/Short</t>
  </si>
  <si>
    <t>Total for 601-100 Expenses - Misc.</t>
  </si>
  <si>
    <t>601-290 Informational Technology</t>
  </si>
  <si>
    <t>601-300 Hardware</t>
  </si>
  <si>
    <t>601-310 POS System Repair / IT Support</t>
  </si>
  <si>
    <t>601-320 Software</t>
  </si>
  <si>
    <t>Total for 601-290 Informational Technology</t>
  </si>
  <si>
    <t>601-350 Insurance Expense</t>
  </si>
  <si>
    <t>601-360 Disability / PFL</t>
  </si>
  <si>
    <t>601-380 General Liability Insurance</t>
  </si>
  <si>
    <t>601-400 Workers Comp</t>
  </si>
  <si>
    <t>Total for 601-350 Insurance Expense</t>
  </si>
  <si>
    <t>601-450 Licenses &amp; Permits</t>
  </si>
  <si>
    <t>601-460 Beer&amp;Wine License</t>
  </si>
  <si>
    <t>601-530 Health Permit</t>
  </si>
  <si>
    <t>601-550 Liquor License Tax</t>
  </si>
  <si>
    <t>Total for 601-450 Licenses &amp; Permits</t>
  </si>
  <si>
    <t>601-570 Professional Fees</t>
  </si>
  <si>
    <t>601-580 Accounting</t>
  </si>
  <si>
    <t>Total for 601-570 Professional Fees</t>
  </si>
  <si>
    <t>601-710 Research &amp; Development</t>
  </si>
  <si>
    <t>Total for 601-000 General &amp; Administrative</t>
  </si>
  <si>
    <t>602-000 Occupancy</t>
  </si>
  <si>
    <t>602-040 Real Estate Taxes</t>
  </si>
  <si>
    <t>602-100 Rent</t>
  </si>
  <si>
    <t>602-200 Utilities</t>
  </si>
  <si>
    <t>602-210 Electricity</t>
  </si>
  <si>
    <t>602-280 Telephone &amp; Internet</t>
  </si>
  <si>
    <t>602-330 Water/Sewer</t>
  </si>
  <si>
    <t>Total for 602-200 Utilities</t>
  </si>
  <si>
    <t>Total for 602-000 Occupancy</t>
  </si>
  <si>
    <t>66900 Reconciliation Discrepancies</t>
  </si>
  <si>
    <t>Total for Expenses</t>
  </si>
  <si>
    <t>Net Operating Income</t>
  </si>
  <si>
    <t>Distribution account</t>
  </si>
  <si>
    <t>January 2025</t>
  </si>
  <si>
    <t>CURRENT</t>
  </si>
  <si>
    <t>% of Income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</si>
  <si>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</si>
  <si>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</si>
  <si>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</si>
  <si>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</si>
  <si>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</si>
  <si>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</si>
  <si>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</si>
  <si>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</si>
  <si>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</si>
  <si>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</si>
  <si>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Total</t>
  </si>
  <si>
    <t>Jan 1 - Nov 30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</si>
</sst>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#,##0.00\%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9D12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54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2" fillId="0" borderId="1" xfId="1" applyFont="1" applyAlignment="1">
      <alignment horizontal="center" wrapText="1"/>
    </xf>
    <xf numFmtId="0" fontId="3" fillId="0" borderId="0" xfId="0" applyFont="1" applyAlignment="1">
      <alignment horizontal="left" wrapText="1"/>
    </xf>
    <xf numFmtId="165" fontId="3" fillId="0" borderId="0" xfId="0" applyNumberFormat="1" applyFont="1" applyAlignment="1">
      <alignment wrapText="1"/>
    </xf>
    <xf numFmtId="0" fontId="3" fillId="0" borderId="0" xfId="0" applyFont="1" applyAlignment="1">
      <alignment horizontal="left" wrapText="1" indent="1"/>
    </xf>
    <xf numFmtId="4" fontId="3" fillId="0" borderId="0" xfId="0" applyNumberFormat="1" applyFont="1" applyAlignment="1">
      <alignment wrapText="1"/>
    </xf>
    <xf numFmtId="0" fontId="3" fillId="0" borderId="0" xfId="0" applyFont="1" applyAlignment="1">
      <alignment horizontal="left" wrapText="1" indent="2"/>
    </xf>
    <xf numFmtId="0" fontId="2" fillId="0" borderId="0" xfId="0" applyFont="1" applyAlignment="1">
      <alignment horizontal="left" wrapText="1" indent="1"/>
    </xf>
    <xf numFmtId="4" fontId="2" fillId="0" borderId="2" xfId="0" applyNumberFormat="1" applyFont="1" applyBorder="1" applyAlignment="1">
      <alignment wrapText="1"/>
    </xf>
    <xf numFmtId="165" fontId="2" fillId="0" borderId="2" xfId="0" applyNumberFormat="1" applyFont="1" applyBorder="1" applyAlignment="1">
      <alignment wrapText="1"/>
    </xf>
    <xf numFmtId="164" fontId="2" fillId="0" borderId="2" xfId="0" applyNumberFormat="1" applyFont="1" applyBorder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3"/>
    </xf>
    <xf numFmtId="0" fontId="2" fillId="0" borderId="0" xfId="0" applyFont="1" applyAlignment="1">
      <alignment horizontal="left" wrapText="1" indent="2"/>
    </xf>
    <xf numFmtId="4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165" fontId="5" fillId="0" borderId="0" xfId="0" applyNumberFormat="1" applyFont="1" applyAlignment="1">
      <alignment wrapText="1"/>
    </xf>
    <xf numFmtId="4" fontId="5" fillId="0" borderId="0" xfId="0" applyNumberFormat="1" applyFont="1" applyAlignment="1">
      <alignment wrapText="1"/>
    </xf>
    <xf numFmtId="4" fontId="4" fillId="0" borderId="2" xfId="0" applyNumberFormat="1" applyFont="1" applyBorder="1" applyAlignment="1">
      <alignment wrapText="1"/>
    </xf>
    <xf numFmtId="165" fontId="4" fillId="0" borderId="2" xfId="0" applyNumberFormat="1" applyFont="1" applyBorder="1" applyAlignment="1">
      <alignment wrapText="1"/>
    </xf>
    <xf numFmtId="4" fontId="4" fillId="0" borderId="0" xfId="0" applyNumberFormat="1" applyFont="1" applyAlignment="1">
      <alignment wrapText="1"/>
    </xf>
    <xf numFmtId="165" fontId="4" fillId="0" borderId="0" xfId="0" applyNumberFormat="1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1" xfId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/>
    <xf numFmtId="0" fontId="2" fillId="0" borderId="0" xfId="0" applyFont="1" applyFill="1" applyAlignment="1">
      <alignment horizontal="left" wrapText="1" indent="1"/>
    </xf>
    <xf numFmtId="4" fontId="2" fillId="0" borderId="0" xfId="0" applyNumberFormat="1" applyFont="1" applyFill="1" applyBorder="1" applyAlignment="1">
      <alignment wrapText="1"/>
    </xf>
    <xf numFmtId="165" fontId="2" fillId="0" borderId="0" xfId="0" applyNumberFormat="1" applyFont="1" applyFill="1" applyBorder="1" applyAlignment="1">
      <alignment wrapText="1"/>
    </xf>
    <xf numFmtId="4" fontId="4" fillId="0" borderId="0" xfId="0" applyNumberFormat="1" applyFont="1" applyFill="1" applyBorder="1" applyAlignment="1">
      <alignment wrapText="1"/>
    </xf>
    <xf numFmtId="165" fontId="4" fillId="0" borderId="0" xfId="0" applyNumberFormat="1" applyFont="1" applyFill="1" applyBorder="1" applyAlignment="1">
      <alignment wrapText="1"/>
    </xf>
    <xf numFmtId="164" fontId="2" fillId="0" borderId="0" xfId="0" applyNumberFormat="1" applyFont="1" applyFill="1" applyBorder="1" applyAlignment="1">
      <alignment wrapText="1"/>
    </xf>
    <xf numFmtId="0" fontId="3" fillId="0" borderId="0" xfId="0" applyFont="1" applyFill="1"/>
    <xf numFmtId="0" fontId="8" fillId="2" borderId="1" xfId="1" applyFont="1" applyFill="1" applyAlignment="1">
      <alignment horizontal="center" wrapText="1"/>
    </xf>
    <xf numFmtId="0" fontId="9" fillId="2" borderId="0" xfId="0" applyFont="1" applyFill="1" applyAlignment="1">
      <alignment wrapText="1"/>
    </xf>
    <xf numFmtId="0" fontId="3" fillId="0" borderId="0" xfId="0" applyFont="1" applyAlignment="1">
      <alignment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1" xfId="1" applyFont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1" xfId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horizontal="left" wrapText="1"/>
    </xf>
    <xf numFmtId="4" fontId="2" fillId="3" borderId="2" xfId="0" applyNumberFormat="1" applyFont="1" applyFill="1" applyBorder="1" applyAlignment="1">
      <alignment wrapText="1"/>
    </xf>
    <xf numFmtId="165" fontId="2" fillId="3" borderId="2" xfId="0" applyNumberFormat="1" applyFont="1" applyFill="1" applyBorder="1" applyAlignment="1">
      <alignment wrapText="1"/>
    </xf>
    <xf numFmtId="4" fontId="4" fillId="3" borderId="2" xfId="0" applyNumberFormat="1" applyFont="1" applyFill="1" applyBorder="1" applyAlignment="1">
      <alignment wrapText="1"/>
    </xf>
    <xf numFmtId="165" fontId="4" fillId="3" borderId="2" xfId="0" applyNumberFormat="1" applyFont="1" applyFill="1" applyBorder="1" applyAlignment="1">
      <alignment wrapText="1"/>
    </xf>
    <xf numFmtId="164" fontId="2" fillId="3" borderId="2" xfId="0" applyNumberFormat="1" applyFont="1" applyFill="1" applyBorder="1" applyAlignment="1">
      <alignment wrapText="1"/>
    </xf>
    <xf numFmtId="0" fontId="2" fillId="3" borderId="0" xfId="0" applyFont="1" applyFill="1" applyAlignment="1">
      <alignment horizontal="left" wrapText="1" inden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colors>
    <mruColors>
      <color rgb="FFE9D123"/>
      <color rgb="FFD0DEE2"/>
      <color rgb="FFE3B5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Y157"/>
  <sheetViews>
    <sheetView tabSelected="1" workbookViewId="0">
      <pane xSplit="1" ySplit="6" topLeftCell="D7" activePane="bottomRight" state="frozen"/>
      <selection pane="topRight" activeCell="B1" sqref="B1"/>
      <selection pane="bottomLeft" activeCell="A7" sqref="A7"/>
      <selection pane="bottomRight" activeCell="A5" sqref="A5"/>
    </sheetView>
  </sheetViews>
  <sheetFormatPr defaultColWidth="11.25" defaultRowHeight="12.75" outlineLevelRow="3" x14ac:dyDescent="0.2"/>
  <cols>
    <col min="1" max="1" width="34.125" style="1" bestFit="1" customWidth="1"/>
    <col min="2" max="21" width="8.5" style="1" customWidth="1"/>
    <col min="22" max="23" width="8.5" style="19" customWidth="1"/>
    <col min="24" max="24" width="10.5" style="1" customWidth="1"/>
    <col min="25" max="25" width="8.5" style="1" customWidth="1"/>
    <col min="26" max="16384" width="11.25" style="2"/>
  </cols>
  <sheetData>
    <row r="1" spans="1:25" s="31" customFormat="1" ht="21" x14ac:dyDescent="0.3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s="31" customFormat="1" ht="21" x14ac:dyDescent="0.3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</row>
    <row r="3" spans="1:25" x14ac:dyDescent="0.2">
      <c r="A3" s="26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</row>
    <row r="5" spans="1:25" ht="12.75" customHeight="1" x14ac:dyDescent="0.2">
      <c r="A5" s="3" t="s">
        <v>151</v>
      </c>
      <c r="B5" s="28" t="s">
        <v>152</v>
      </c>
      <c r="C5" s="27"/>
      <c r="D5" s="28" t="s">
        <v>155</v>
      </c>
      <c r="E5" s="27"/>
      <c r="F5" s="28" t="s">
        <v>156</v>
      </c>
      <c r="G5" s="27"/>
      <c r="H5" s="28" t="s">
        <v>157</v>
      </c>
      <c r="I5" s="27"/>
      <c r="J5" s="28" t="s">
        <v>158</v>
      </c>
      <c r="K5" s="27"/>
      <c r="L5" s="28" t="s">
        <v>159</v>
      </c>
      <c r="M5" s="27"/>
      <c r="N5" s="28" t="s">
        <v>160</v>
      </c>
      <c r="O5" s="27"/>
      <c r="P5" s="28" t="s">
        <v>161</v>
      </c>
      <c r="Q5" s="27"/>
      <c r="R5" s="28" t="s">
        <v>162</v>
      </c>
      <c r="S5" s="27"/>
      <c r="T5" s="28" t="s">
        <v>163</v>
      </c>
      <c r="U5" s="27"/>
      <c r="V5" s="39" t="s">
        <v>164</v>
      </c>
      <c r="W5" s="40"/>
      <c r="X5" s="28" t="s">
        <v>165</v>
      </c>
      <c r="Y5" s="27"/>
    </row>
    <row r="6" spans="1:25" s="46" customFormat="1" ht="25.5" x14ac:dyDescent="0.25">
      <c r="A6" s="41"/>
      <c r="B6" s="42" t="s">
        <v>153</v>
      </c>
      <c r="C6" s="43" t="s">
        <v>154</v>
      </c>
      <c r="D6" s="42" t="s">
        <v>153</v>
      </c>
      <c r="E6" s="43" t="s">
        <v>154</v>
      </c>
      <c r="F6" s="42" t="s">
        <v>153</v>
      </c>
      <c r="G6" s="43" t="s">
        <v>154</v>
      </c>
      <c r="H6" s="42" t="s">
        <v>153</v>
      </c>
      <c r="I6" s="43" t="s">
        <v>154</v>
      </c>
      <c r="J6" s="42" t="s">
        <v>153</v>
      </c>
      <c r="K6" s="43" t="s">
        <v>154</v>
      </c>
      <c r="L6" s="42" t="s">
        <v>153</v>
      </c>
      <c r="M6" s="43" t="s">
        <v>154</v>
      </c>
      <c r="N6" s="42" t="s">
        <v>153</v>
      </c>
      <c r="O6" s="43" t="s">
        <v>154</v>
      </c>
      <c r="P6" s="42" t="s">
        <v>153</v>
      </c>
      <c r="Q6" s="43" t="s">
        <v>154</v>
      </c>
      <c r="R6" s="42" t="s">
        <v>153</v>
      </c>
      <c r="S6" s="43" t="s">
        <v>154</v>
      </c>
      <c r="T6" s="42" t="s">
        <v>153</v>
      </c>
      <c r="U6" s="43" t="s">
        <v>154</v>
      </c>
      <c r="V6" s="44" t="s">
        <v>153</v>
      </c>
      <c r="W6" s="45" t="s">
        <v>154</v>
      </c>
      <c r="X6" s="42" t="s">
        <v>166</v>
      </c>
      <c r="Y6" s="43" t="s">
        <v>154</v>
      </c>
    </row>
    <row r="7" spans="1:25" x14ac:dyDescent="0.2">
      <c r="A7" s="4" t="s">
        <v>3</v>
      </c>
      <c r="C7" s="5">
        <f>IFERROR(((B7/B27)*100),"")</f>
        <v>0</v>
      </c>
      <c r="E7" s="5">
        <f>IFERROR(((D7/D27)*100),"")</f>
        <v>0</v>
      </c>
      <c r="G7" s="5">
        <f>IFERROR(((F7/F27)*100),"")</f>
        <v>0</v>
      </c>
      <c r="I7" s="5">
        <f>IFERROR(((H7/H27)*100),"")</f>
        <v>0</v>
      </c>
      <c r="K7" s="5">
        <f>IFERROR(((J7/J27)*100),"")</f>
        <v>0</v>
      </c>
      <c r="M7" s="5">
        <f>IFERROR(((L7/L27)*100),"")</f>
        <v>0</v>
      </c>
      <c r="O7" s="5">
        <f>IFERROR(((N7/N27)*100),"")</f>
        <v>0</v>
      </c>
      <c r="Q7" s="5">
        <f>IFERROR(((P7/P27)*100),"")</f>
        <v>0</v>
      </c>
      <c r="S7" s="5">
        <f>IFERROR(((R7/R27)*100),"")</f>
        <v>0</v>
      </c>
      <c r="U7" s="5">
        <f>IFERROR(((T7/T27)*100),"")</f>
        <v>0</v>
      </c>
      <c r="W7" s="20">
        <f>IFERROR(((V7/V27)*100),"")</f>
        <v>0</v>
      </c>
    </row>
    <row r="8" spans="1:25" outlineLevel="1" x14ac:dyDescent="0.2">
      <c r="A8" s="6" t="s">
        <v>4</v>
      </c>
      <c r="B8" s="7">
        <v>124520.61</v>
      </c>
      <c r="C8" s="5">
        <f>IFERROR(((B8/B27)*100),"")</f>
        <v>76.14562308211292</v>
      </c>
      <c r="D8" s="7">
        <v>106470.43</v>
      </c>
      <c r="E8" s="5">
        <f>IFERROR(((D8/D27)*100),"")</f>
        <v>76.141660819770678</v>
      </c>
      <c r="F8" s="7">
        <v>129410.18</v>
      </c>
      <c r="G8" s="5">
        <f>IFERROR(((F8/F27)*100),"")</f>
        <v>79.372155530936183</v>
      </c>
      <c r="H8" s="7">
        <v>123856.58</v>
      </c>
      <c r="I8" s="5">
        <f>IFERROR(((H8/H27)*100),"")</f>
        <v>76.06594914421602</v>
      </c>
      <c r="J8" s="7">
        <v>126795.07</v>
      </c>
      <c r="K8" s="5">
        <f>IFERROR(((J8/J27)*100),"")</f>
        <v>78.568830458725969</v>
      </c>
      <c r="L8" s="7">
        <v>116285.43</v>
      </c>
      <c r="M8" s="5">
        <f>IFERROR(((L8/L27)*100),"")</f>
        <v>77.526431625253608</v>
      </c>
      <c r="N8" s="7">
        <v>112988.28</v>
      </c>
      <c r="O8" s="5">
        <f>IFERROR(((N8/N27)*100),"")</f>
        <v>79.545767673400476</v>
      </c>
      <c r="P8" s="7">
        <v>121928.52</v>
      </c>
      <c r="Q8" s="5">
        <f>IFERROR(((P8/P27)*100),"")</f>
        <v>78.994082725229816</v>
      </c>
      <c r="R8" s="7">
        <v>103178.96</v>
      </c>
      <c r="S8" s="5">
        <f>IFERROR(((R8/R27)*100),"")</f>
        <v>77.718813091149698</v>
      </c>
      <c r="T8" s="7">
        <v>111988.9</v>
      </c>
      <c r="U8" s="5">
        <f>IFERROR(((T8/T27)*100),"")</f>
        <v>77.054914223875528</v>
      </c>
      <c r="V8" s="21">
        <v>112601.9</v>
      </c>
      <c r="W8" s="20">
        <f>IFERROR(((V8/V27)*100),"")</f>
        <v>71.783754768901332</v>
      </c>
      <c r="X8" s="7">
        <f>B8+D8+F8+H8+J8+L8+N8+P8+R8+T8+V8</f>
        <v>1290024.8599999999</v>
      </c>
      <c r="Y8" s="5">
        <f>IFERROR(((X8/X27)*100),"")</f>
        <v>77.156490269614693</v>
      </c>
    </row>
    <row r="9" spans="1:25" outlineLevel="1" x14ac:dyDescent="0.2">
      <c r="A9" s="6" t="s">
        <v>5</v>
      </c>
      <c r="C9" s="5">
        <f>IFERROR(((B9/B27)*100),"")</f>
        <v>0</v>
      </c>
      <c r="E9" s="5">
        <f>IFERROR(((D9/D27)*100),"")</f>
        <v>0</v>
      </c>
      <c r="G9" s="5">
        <f>IFERROR(((F9/F27)*100),"")</f>
        <v>0</v>
      </c>
      <c r="I9" s="5">
        <f>IFERROR(((H9/H27)*100),"")</f>
        <v>0</v>
      </c>
      <c r="K9" s="5">
        <f>IFERROR(((J9/J27)*100),"")</f>
        <v>0</v>
      </c>
      <c r="M9" s="5">
        <f>IFERROR(((L9/L27)*100),"")</f>
        <v>0</v>
      </c>
      <c r="O9" s="5">
        <f>IFERROR(((N9/N27)*100),"")</f>
        <v>0</v>
      </c>
      <c r="Q9" s="5">
        <f>IFERROR(((P9/P27)*100),"")</f>
        <v>0</v>
      </c>
      <c r="S9" s="5">
        <f>IFERROR(((R9/R27)*100),"")</f>
        <v>0</v>
      </c>
      <c r="U9" s="5">
        <f>IFERROR(((T9/T27)*100),"")</f>
        <v>0</v>
      </c>
      <c r="W9" s="20">
        <f>IFERROR(((V9/V27)*100),"")</f>
        <v>0</v>
      </c>
      <c r="Y9" s="5">
        <f>IFERROR(((X9/X27)*100),"")</f>
        <v>0</v>
      </c>
    </row>
    <row r="10" spans="1:25" outlineLevel="2" x14ac:dyDescent="0.2">
      <c r="A10" s="8" t="s">
        <v>6</v>
      </c>
      <c r="B10" s="7">
        <v>1638</v>
      </c>
      <c r="C10" s="5">
        <f>IFERROR(((B10/B27)*100),"")</f>
        <v>1.0016537070329239</v>
      </c>
      <c r="D10" s="7">
        <v>1200</v>
      </c>
      <c r="E10" s="5">
        <f>IFERROR(((D10/D27)*100),"")</f>
        <v>0.85817248022502424</v>
      </c>
      <c r="F10" s="7">
        <v>1728</v>
      </c>
      <c r="G10" s="5">
        <f>IFERROR(((F10/F27)*100),"")</f>
        <v>1.059847724170214</v>
      </c>
      <c r="H10" s="7">
        <v>2080</v>
      </c>
      <c r="I10" s="5">
        <f>IFERROR(((H10/H27)*100),"")</f>
        <v>1.2774224366599605</v>
      </c>
      <c r="J10" s="7">
        <v>1982</v>
      </c>
      <c r="K10" s="5">
        <f>IFERROR(((J10/J27)*100),"")</f>
        <v>1.2281504475623135</v>
      </c>
      <c r="L10" s="7">
        <v>2052</v>
      </c>
      <c r="M10" s="5">
        <f>IFERROR(((L10/L27)*100),"")</f>
        <v>1.3680496145993561</v>
      </c>
      <c r="N10" s="7">
        <v>2240</v>
      </c>
      <c r="O10" s="5">
        <f>IFERROR(((N10/N27)*100),"")</f>
        <v>1.5770000179524555</v>
      </c>
      <c r="P10" s="7">
        <v>2598</v>
      </c>
      <c r="Q10" s="5">
        <f>IFERROR(((P10/P27)*100),"")</f>
        <v>1.6831716395815111</v>
      </c>
      <c r="R10" s="7">
        <v>2622</v>
      </c>
      <c r="S10" s="5">
        <f>IFERROR(((R10/R27)*100),"")</f>
        <v>1.9750027323884103</v>
      </c>
      <c r="T10" s="7">
        <v>2300</v>
      </c>
      <c r="U10" s="5">
        <f>IFERROR(((T10/T27)*100),"")</f>
        <v>1.5825345432887876</v>
      </c>
      <c r="V10" s="21">
        <v>2096</v>
      </c>
      <c r="W10" s="20">
        <f>IFERROR(((V10/V27)*100),"")</f>
        <v>1.3362008100717411</v>
      </c>
      <c r="X10" s="7">
        <f>B10+D10+F10+H10+J10+L10+N10+P10+R10+T10+V10</f>
        <v>22536</v>
      </c>
      <c r="Y10" s="5">
        <f>IFERROR(((X10/X27)*100),"")</f>
        <v>1.3478799662171135</v>
      </c>
    </row>
    <row r="11" spans="1:25" outlineLevel="2" x14ac:dyDescent="0.2">
      <c r="A11" s="8" t="s">
        <v>7</v>
      </c>
      <c r="B11" s="7">
        <v>22838.2</v>
      </c>
      <c r="C11" s="5">
        <f>IFERROR(((B11/B27)*100),"")</f>
        <v>13.965792241733407</v>
      </c>
      <c r="D11" s="7">
        <v>19219.05</v>
      </c>
      <c r="E11" s="5">
        <f>IFERROR(((D11/D27)*100),"")</f>
        <v>13.744383171723959</v>
      </c>
      <c r="F11" s="7">
        <v>21317.61</v>
      </c>
      <c r="G11" s="5">
        <f>IFERROR(((F11/F27)*100),"")</f>
        <v>13.074896089842705</v>
      </c>
      <c r="H11" s="7">
        <v>20940.8</v>
      </c>
      <c r="I11" s="5">
        <f>IFERROR(((H11/H27)*100),"")</f>
        <v>12.860696039235044</v>
      </c>
      <c r="J11" s="7">
        <v>20634.099999999999</v>
      </c>
      <c r="K11" s="5">
        <f>IFERROR(((J11/J27)*100),"")</f>
        <v>12.785963244220753</v>
      </c>
      <c r="L11" s="7">
        <v>20063.5</v>
      </c>
      <c r="M11" s="5">
        <f>IFERROR(((L11/L27)*100),"")</f>
        <v>13.376151775104377</v>
      </c>
      <c r="N11" s="7">
        <v>18508.150000000001</v>
      </c>
      <c r="O11" s="5">
        <f>IFERROR(((N11/N27)*100),"")</f>
        <v>13.03006825101194</v>
      </c>
      <c r="P11" s="7">
        <v>20078.45</v>
      </c>
      <c r="Q11" s="5">
        <f>IFERROR(((P11/P27)*100),"")</f>
        <v>13.008266977196071</v>
      </c>
      <c r="R11" s="7">
        <v>15076</v>
      </c>
      <c r="S11" s="5">
        <f>IFERROR(((R11/R27)*100),"")</f>
        <v>11.355889089812232</v>
      </c>
      <c r="T11" s="7">
        <v>17698.349999999999</v>
      </c>
      <c r="U11" s="5">
        <f>IFERROR(((T11/T27)*100),"")</f>
        <v>12.177500101832658</v>
      </c>
      <c r="V11" s="21">
        <v>21754.6</v>
      </c>
      <c r="W11" s="20">
        <f>IFERROR(((V11/V27)*100),"")</f>
        <v>13.868565907818081</v>
      </c>
      <c r="X11" s="7">
        <f>B11+D11+F11+H11+J11+L11+N11+P11+R11+T11+V11</f>
        <v>218128.81000000003</v>
      </c>
      <c r="Y11" s="5">
        <f>IFERROR(((X11/X27)*100),"")</f>
        <v>13.04630160870515</v>
      </c>
    </row>
    <row r="12" spans="1:25" outlineLevel="1" x14ac:dyDescent="0.2">
      <c r="A12" s="9" t="s">
        <v>8</v>
      </c>
      <c r="B12" s="10">
        <f>B9+B10+B11</f>
        <v>24476.2</v>
      </c>
      <c r="C12" s="11">
        <f>IFERROR(((B12/B27)*100),"")</f>
        <v>14.967445948766333</v>
      </c>
      <c r="D12" s="10">
        <f>D9+D10+D11</f>
        <v>20419.05</v>
      </c>
      <c r="E12" s="11">
        <f>IFERROR(((D12/D27)*100),"")</f>
        <v>14.602555651948984</v>
      </c>
      <c r="F12" s="10">
        <f>F9+F10+F11</f>
        <v>23045.61</v>
      </c>
      <c r="G12" s="11">
        <f>IFERROR(((F12/F27)*100),"")</f>
        <v>14.134743814012918</v>
      </c>
      <c r="H12" s="10">
        <f>H9+H10+H11</f>
        <v>23020.799999999999</v>
      </c>
      <c r="I12" s="11">
        <f>IFERROR(((H12/H27)*100),"")</f>
        <v>14.138118475895006</v>
      </c>
      <c r="J12" s="10">
        <f>J9+J10+J11</f>
        <v>22616.1</v>
      </c>
      <c r="K12" s="11">
        <f>IFERROR(((J12/J27)*100),"")</f>
        <v>14.014113691783065</v>
      </c>
      <c r="L12" s="10">
        <f>L9+L10+L11</f>
        <v>22115.5</v>
      </c>
      <c r="M12" s="11">
        <f>IFERROR(((L12/L27)*100),"")</f>
        <v>14.744201389703735</v>
      </c>
      <c r="N12" s="10">
        <f>N9+N10+N11</f>
        <v>20748.150000000001</v>
      </c>
      <c r="O12" s="11">
        <f>IFERROR(((N12/N27)*100),"")</f>
        <v>14.607068268964394</v>
      </c>
      <c r="P12" s="10">
        <f>P9+P10+P11</f>
        <v>22676.45</v>
      </c>
      <c r="Q12" s="11">
        <f>IFERROR(((P12/P27)*100),"")</f>
        <v>14.69143861677758</v>
      </c>
      <c r="R12" s="10">
        <f>R9+R10+R11</f>
        <v>17698</v>
      </c>
      <c r="S12" s="11">
        <f>IFERROR(((R12/R27)*100),"")</f>
        <v>13.330891822200645</v>
      </c>
      <c r="T12" s="10">
        <f>T9+T10+T11</f>
        <v>19998.349999999999</v>
      </c>
      <c r="U12" s="11">
        <f>IFERROR(((T12/T27)*100),"")</f>
        <v>13.760034645121447</v>
      </c>
      <c r="V12" s="22">
        <f>V9+V10+V11</f>
        <v>23850.6</v>
      </c>
      <c r="W12" s="23">
        <f>IFERROR(((V12/V27)*100),"")</f>
        <v>15.204766717889823</v>
      </c>
      <c r="X12" s="12">
        <f>B12+D12+F12+H12+J12+L12+N12+P12+R12+T12+V12</f>
        <v>240664.81000000003</v>
      </c>
      <c r="Y12" s="11">
        <f>IFERROR(((X12/X27)*100),"")</f>
        <v>14.394181574922262</v>
      </c>
    </row>
    <row r="13" spans="1:25" outlineLevel="1" x14ac:dyDescent="0.2">
      <c r="A13" s="6" t="s">
        <v>9</v>
      </c>
      <c r="B13" s="7">
        <v>-6848.42</v>
      </c>
      <c r="C13" s="5">
        <f>IFERROR(((B13/B27)*100),"")</f>
        <v>-4.1878786815130749</v>
      </c>
      <c r="D13" s="7">
        <v>-5640.48</v>
      </c>
      <c r="E13" s="5">
        <f>IFERROR(((D13/D27)*100),"")</f>
        <v>-4.0337539260497035</v>
      </c>
      <c r="F13" s="7">
        <v>-6682.07</v>
      </c>
      <c r="G13" s="5">
        <f>IFERROR(((F13/F27)*100),"")</f>
        <v>-4.098366135559063</v>
      </c>
      <c r="H13" s="7">
        <v>-7487.03</v>
      </c>
      <c r="I13" s="5">
        <f>IFERROR(((H13/H27)*100),"")</f>
        <v>-4.5981250509356837</v>
      </c>
      <c r="J13" s="7">
        <v>-7829.15</v>
      </c>
      <c r="K13" s="5">
        <f>IFERROR(((J13/J27)*100),"")</f>
        <v>-4.8513491808942915</v>
      </c>
      <c r="L13" s="7">
        <v>-7214.82</v>
      </c>
      <c r="M13" s="5">
        <f>IFERROR(((L13/L27)*100),"")</f>
        <v>-4.8100544446411924</v>
      </c>
      <c r="N13" s="7">
        <v>-7773.23</v>
      </c>
      <c r="O13" s="5">
        <f>IFERROR(((N13/N27)*100),"")</f>
        <v>-5.4724927899770375</v>
      </c>
      <c r="P13" s="7">
        <v>-9039.2800000000007</v>
      </c>
      <c r="Q13" s="5">
        <f>IFERROR(((P13/P27)*100),"")</f>
        <v>-5.8562970508992924</v>
      </c>
      <c r="R13" s="7">
        <v>-7845.23</v>
      </c>
      <c r="S13" s="5">
        <f>IFERROR(((R13/R27)*100),"")</f>
        <v>-5.9093633433316279</v>
      </c>
      <c r="T13" s="7">
        <v>-7038.07</v>
      </c>
      <c r="U13" s="5">
        <f>IFERROR(((T13/T27)*100),"")</f>
        <v>-4.8426038665584858</v>
      </c>
      <c r="V13" s="21">
        <v>-4908.07</v>
      </c>
      <c r="W13" s="20">
        <f>IFERROR(((V13/V27)*100),"")</f>
        <v>-3.1288965218935165</v>
      </c>
      <c r="X13" s="7">
        <f>B13+D13+F13+H13+J13+L13+N13+P13+R13+T13+V13</f>
        <v>-78305.850000000006</v>
      </c>
      <c r="Y13" s="5">
        <f>IFERROR(((X13/X27)*100),"")</f>
        <v>-4.6834791645634706</v>
      </c>
    </row>
    <row r="14" spans="1:25" outlineLevel="1" x14ac:dyDescent="0.2">
      <c r="A14" s="6" t="s">
        <v>10</v>
      </c>
      <c r="C14" s="5">
        <f>IFERROR(((B14/B27)*100),"")</f>
        <v>0</v>
      </c>
      <c r="E14" s="5">
        <f>IFERROR(((D14/D27)*100),"")</f>
        <v>0</v>
      </c>
      <c r="G14" s="5">
        <f>IFERROR(((F14/F27)*100),"")</f>
        <v>0</v>
      </c>
      <c r="I14" s="5">
        <f>IFERROR(((H14/H27)*100),"")</f>
        <v>0</v>
      </c>
      <c r="K14" s="5">
        <f>IFERROR(((J14/J27)*100),"")</f>
        <v>0</v>
      </c>
      <c r="M14" s="5">
        <f>IFERROR(((L14/L27)*100),"")</f>
        <v>0</v>
      </c>
      <c r="O14" s="5">
        <f>IFERROR(((N14/N27)*100),"")</f>
        <v>0</v>
      </c>
      <c r="Q14" s="5">
        <f>IFERROR(((P14/P27)*100),"")</f>
        <v>0</v>
      </c>
      <c r="S14" s="5">
        <f>IFERROR(((R14/R27)*100),"")</f>
        <v>0</v>
      </c>
      <c r="U14" s="5">
        <f>IFERROR(((T14/T27)*100),"")</f>
        <v>0</v>
      </c>
      <c r="W14" s="20">
        <f>IFERROR(((V14/V27)*100),"")</f>
        <v>0</v>
      </c>
      <c r="Y14" s="5">
        <f>IFERROR(((X14/X27)*100),"")</f>
        <v>0</v>
      </c>
    </row>
    <row r="15" spans="1:25" outlineLevel="2" x14ac:dyDescent="0.2">
      <c r="A15" s="8" t="s">
        <v>11</v>
      </c>
      <c r="B15" s="7">
        <v>9541.0499999999993</v>
      </c>
      <c r="C15" s="5">
        <f>IFERROR(((B15/B27)*100),"")</f>
        <v>5.8344493904068848</v>
      </c>
      <c r="D15" s="7">
        <v>8265.9</v>
      </c>
      <c r="E15" s="5">
        <f>IFERROR(((D15/D27)*100),"")</f>
        <v>5.9113065869100225</v>
      </c>
      <c r="F15" s="7">
        <v>7753.15</v>
      </c>
      <c r="G15" s="5">
        <f>IFERROR(((F15/F27)*100),"")</f>
        <v>4.75529998995966</v>
      </c>
      <c r="H15" s="7">
        <v>8408.9</v>
      </c>
      <c r="I15" s="5">
        <f>IFERROR(((H15/H27)*100),"")</f>
        <v>5.1642872728990099</v>
      </c>
      <c r="J15" s="7">
        <v>9100.31</v>
      </c>
      <c r="K15" s="5">
        <f>IFERROR(((J15/J27)*100),"")</f>
        <v>5.6390261349423794</v>
      </c>
      <c r="L15" s="7">
        <v>6207.15</v>
      </c>
      <c r="M15" s="5">
        <f>IFERROR(((L15/L27)*100),"")</f>
        <v>4.1382500805362534</v>
      </c>
      <c r="N15" s="7">
        <v>5808.67</v>
      </c>
      <c r="O15" s="5">
        <f>IFERROR(((N15/N27)*100),"")</f>
        <v>4.0894074528035222</v>
      </c>
      <c r="P15" s="7">
        <v>8337.66</v>
      </c>
      <c r="Q15" s="5">
        <f>IFERROR(((P15/P27)*100),"")</f>
        <v>5.4017370486809781</v>
      </c>
      <c r="R15" s="7">
        <v>10311.290000000001</v>
      </c>
      <c r="S15" s="5">
        <f>IFERROR(((R15/R27)*100),"")</f>
        <v>7.7669053868990439</v>
      </c>
      <c r="T15" s="7">
        <v>10553.88</v>
      </c>
      <c r="U15" s="5">
        <f>IFERROR(((T15/T27)*100),"")</f>
        <v>7.2616868111846395</v>
      </c>
      <c r="V15" s="21">
        <v>14314.12</v>
      </c>
      <c r="W15" s="20">
        <f>IFERROR(((V15/V27)*100),"")</f>
        <v>9.1252570321870774</v>
      </c>
      <c r="X15" s="7">
        <f t="shared" ref="X15:X27" si="0">B15+D15+F15+H15+J15+L15+N15+P15+R15+T15+V15</f>
        <v>98602.079999999987</v>
      </c>
      <c r="Y15" s="5">
        <f>IFERROR(((X15/X27)*100),"")</f>
        <v>5.89739830756732</v>
      </c>
    </row>
    <row r="16" spans="1:25" outlineLevel="2" x14ac:dyDescent="0.2">
      <c r="A16" s="8" t="s">
        <v>12</v>
      </c>
      <c r="B16" s="7">
        <v>2601.33</v>
      </c>
      <c r="C16" s="5">
        <f>IFERROR(((B16/B27)*100),"")</f>
        <v>1.590739827665419</v>
      </c>
      <c r="D16" s="7">
        <v>2469.4299999999998</v>
      </c>
      <c r="E16" s="5">
        <f>IFERROR(((D16/D27)*100),"")</f>
        <v>1.7659973898684012</v>
      </c>
      <c r="F16" s="7">
        <v>1755.48</v>
      </c>
      <c r="G16" s="5">
        <f>IFERROR(((F16/F27)*100),"")</f>
        <v>1.0767022470059764</v>
      </c>
      <c r="H16" s="7">
        <v>7067.95</v>
      </c>
      <c r="I16" s="5">
        <f>IFERROR(((H16/H27)*100),"")</f>
        <v>4.3407489957647911</v>
      </c>
      <c r="J16" s="7">
        <v>2975.95</v>
      </c>
      <c r="K16" s="5">
        <f>IFERROR(((J16/J27)*100),"")</f>
        <v>1.8440536450166836</v>
      </c>
      <c r="L16" s="7">
        <v>2645.9</v>
      </c>
      <c r="M16" s="5">
        <f>IFERROR(((L16/L27)*100),"")</f>
        <v>1.7639973076356903</v>
      </c>
      <c r="N16" s="7">
        <v>2354.4</v>
      </c>
      <c r="O16" s="5">
        <f>IFERROR(((N16/N27)*100),"")</f>
        <v>1.6575396617264557</v>
      </c>
      <c r="P16" s="7">
        <v>2063.5500000000002</v>
      </c>
      <c r="Q16" s="5">
        <f>IFERROR(((P16/P27)*100),"")</f>
        <v>1.3369164114158689</v>
      </c>
      <c r="R16" s="7">
        <v>1784</v>
      </c>
      <c r="S16" s="5">
        <f>IFERROR(((R16/R27)*100),"")</f>
        <v>1.3437852305800626</v>
      </c>
      <c r="T16" s="7">
        <v>2212</v>
      </c>
      <c r="U16" s="5">
        <f>IFERROR(((T16/T27)*100),"")</f>
        <v>1.5219853955455644</v>
      </c>
      <c r="V16" s="21">
        <v>2853.5</v>
      </c>
      <c r="W16" s="20">
        <f>IFERROR(((V16/V27)*100),"")</f>
        <v>1.8191073528338326</v>
      </c>
      <c r="X16" s="7">
        <f t="shared" si="0"/>
        <v>30783.49</v>
      </c>
      <c r="Y16" s="5">
        <f>IFERROR(((X16/X27)*100),"")</f>
        <v>1.8411630041375957</v>
      </c>
    </row>
    <row r="17" spans="1:25" outlineLevel="2" x14ac:dyDescent="0.2">
      <c r="A17" s="8" t="s">
        <v>13</v>
      </c>
      <c r="B17" s="7">
        <v>7771.35</v>
      </c>
      <c r="C17" s="5">
        <f>IFERROR(((B17/B27)*100),"")</f>
        <v>4.752259790079556</v>
      </c>
      <c r="D17" s="7">
        <v>6340.55</v>
      </c>
      <c r="E17" s="5">
        <f>IFERROR(((D17/D27)*100),"")</f>
        <v>4.5344045995756481</v>
      </c>
      <c r="F17" s="7">
        <v>5977.85</v>
      </c>
      <c r="G17" s="5">
        <f>IFERROR(((F17/F27)*100),"")</f>
        <v>3.6664413876915005</v>
      </c>
      <c r="H17" s="7">
        <v>6005.85</v>
      </c>
      <c r="I17" s="5">
        <f>IFERROR(((H17/H27)*100),"")</f>
        <v>3.6884651640452994</v>
      </c>
      <c r="J17" s="7">
        <v>6067.45</v>
      </c>
      <c r="K17" s="5">
        <f>IFERROR(((J17/J27)*100),"")</f>
        <v>3.7597080893349939</v>
      </c>
      <c r="L17" s="7">
        <v>9454.0499999999993</v>
      </c>
      <c r="M17" s="5">
        <f>IFERROR(((L17/L27)*100),"")</f>
        <v>6.3029285862100588</v>
      </c>
      <c r="N17" s="7">
        <v>5791.2</v>
      </c>
      <c r="O17" s="5">
        <f>IFERROR(((N17/N27)*100),"")</f>
        <v>4.0771082606992231</v>
      </c>
      <c r="P17" s="7">
        <v>5920.7</v>
      </c>
      <c r="Q17" s="5">
        <f>IFERROR(((P17/P27)*100),"")</f>
        <v>3.8358561687722297</v>
      </c>
      <c r="R17" s="7">
        <v>5269.8</v>
      </c>
      <c r="S17" s="5">
        <f>IFERROR(((R17/R27)*100),"")</f>
        <v>3.969439130106958</v>
      </c>
      <c r="T17" s="7">
        <v>4458.87</v>
      </c>
      <c r="U17" s="5">
        <f>IFERROR(((T17/T27)*100),"")</f>
        <v>3.0679633908843811</v>
      </c>
      <c r="V17" s="21">
        <v>4765.57</v>
      </c>
      <c r="W17" s="20">
        <f>IFERROR(((V17/V27)*100),"")</f>
        <v>3.0380527168194593</v>
      </c>
      <c r="X17" s="7">
        <f t="shared" si="0"/>
        <v>67823.239999999991</v>
      </c>
      <c r="Y17" s="5">
        <f>IFERROR(((X17/X27)*100),"")</f>
        <v>4.0565134203024131</v>
      </c>
    </row>
    <row r="18" spans="1:25" outlineLevel="2" x14ac:dyDescent="0.2">
      <c r="A18" s="8" t="s">
        <v>14</v>
      </c>
      <c r="C18" s="5">
        <f>IFERROR(((B18/B27)*100),"")</f>
        <v>0</v>
      </c>
      <c r="E18" s="5">
        <f>IFERROR(((D18/D27)*100),"")</f>
        <v>0</v>
      </c>
      <c r="G18" s="5">
        <f>IFERROR(((F18/F27)*100),"")</f>
        <v>0</v>
      </c>
      <c r="H18" s="7">
        <v>405</v>
      </c>
      <c r="I18" s="5">
        <f>IFERROR(((H18/H27)*100),"")</f>
        <v>0.24872888790734804</v>
      </c>
      <c r="K18" s="5">
        <f>IFERROR(((J18/J27)*100),"")</f>
        <v>0</v>
      </c>
      <c r="M18" s="5">
        <f>IFERROR(((L18/L27)*100),"")</f>
        <v>0</v>
      </c>
      <c r="O18" s="5">
        <f>IFERROR(((N18/N27)*100),"")</f>
        <v>0</v>
      </c>
      <c r="Q18" s="5">
        <f>IFERROR(((P18/P27)*100),"")</f>
        <v>0</v>
      </c>
      <c r="S18" s="5">
        <f>IFERROR(((R18/R27)*100),"")</f>
        <v>0</v>
      </c>
      <c r="U18" s="5">
        <f>IFERROR(((T18/T27)*100),"")</f>
        <v>0</v>
      </c>
      <c r="W18" s="20">
        <f>IFERROR(((V18/V27)*100),"")</f>
        <v>0</v>
      </c>
      <c r="X18" s="7">
        <f t="shared" si="0"/>
        <v>405</v>
      </c>
      <c r="Y18" s="5">
        <f>IFERROR(((X18/X27)*100),"")</f>
        <v>2.4223082459972092E-2</v>
      </c>
    </row>
    <row r="19" spans="1:25" outlineLevel="2" x14ac:dyDescent="0.2">
      <c r="A19" s="8" t="s">
        <v>15</v>
      </c>
      <c r="B19" s="7">
        <v>185.8</v>
      </c>
      <c r="C19" s="5">
        <f>IFERROR(((B19/B27)*100),"")</f>
        <v>0.113618595095676</v>
      </c>
      <c r="D19" s="7">
        <v>519.54999999999995</v>
      </c>
      <c r="E19" s="5">
        <f>IFERROR(((D19/D27)*100),"")</f>
        <v>0.3715529267507594</v>
      </c>
      <c r="F19" s="7">
        <v>293.95</v>
      </c>
      <c r="G19" s="5">
        <f>IFERROR(((F19/F27)*100),"")</f>
        <v>0.18029064729157079</v>
      </c>
      <c r="H19" s="7">
        <v>550.65</v>
      </c>
      <c r="I19" s="5">
        <f>IFERROR(((H19/H27)*100),"")</f>
        <v>0.33817916574365725</v>
      </c>
      <c r="J19" s="7">
        <v>379.4</v>
      </c>
      <c r="K19" s="5">
        <f>IFERROR(((J19/J27)*100),"")</f>
        <v>0.23509600393801294</v>
      </c>
      <c r="L19" s="7">
        <v>155</v>
      </c>
      <c r="M19" s="5">
        <f>IFERROR(((L19/L27)*100),"")</f>
        <v>0.10333708102480517</v>
      </c>
      <c r="N19" s="7">
        <v>253.8</v>
      </c>
      <c r="O19" s="5">
        <f>IFERROR(((N19/N27)*100),"")</f>
        <v>0.17867973417693447</v>
      </c>
      <c r="P19" s="7">
        <v>132.94999999999999</v>
      </c>
      <c r="Q19" s="5">
        <f>IFERROR(((P19/P27)*100),"")</f>
        <v>8.6134591794596566E-2</v>
      </c>
      <c r="R19" s="7">
        <v>215.75</v>
      </c>
      <c r="S19" s="5">
        <f>IFERROR(((R19/R27)*100),"")</f>
        <v>0.16251214321617069</v>
      </c>
      <c r="T19" s="7">
        <v>484.9</v>
      </c>
      <c r="U19" s="5">
        <f>IFERROR(((T19/T27)*100),"")</f>
        <v>0.33363956523510135</v>
      </c>
      <c r="V19" s="21">
        <v>367.85</v>
      </c>
      <c r="W19" s="20">
        <f>IFERROR(((V19/V27)*100),"")</f>
        <v>0.23450451716836357</v>
      </c>
      <c r="X19" s="7">
        <f t="shared" si="0"/>
        <v>3539.6</v>
      </c>
      <c r="Y19" s="5">
        <f>IFERROR(((X19/X27)*100),"")</f>
        <v>0.21170375969214125</v>
      </c>
    </row>
    <row r="20" spans="1:25" outlineLevel="2" x14ac:dyDescent="0.2">
      <c r="A20" s="8" t="s">
        <v>16</v>
      </c>
      <c r="B20" s="7">
        <v>395.65</v>
      </c>
      <c r="C20" s="5">
        <f>IFERROR(((B20/B27)*100),"")</f>
        <v>0.24194401049302583</v>
      </c>
      <c r="D20" s="7">
        <v>969.6</v>
      </c>
      <c r="E20" s="5">
        <f>IFERROR(((D20/D27)*100),"")</f>
        <v>0.69340336402181957</v>
      </c>
      <c r="F20" s="7">
        <v>1416.9</v>
      </c>
      <c r="G20" s="5">
        <f>IFERROR(((F20/F27)*100),"")</f>
        <v>0.86903833355137516</v>
      </c>
      <c r="H20" s="7">
        <v>884.85</v>
      </c>
      <c r="I20" s="5">
        <f>IFERROR(((H20/H27)*100),"")</f>
        <v>0.54342655917238747</v>
      </c>
      <c r="J20" s="7">
        <v>764.25</v>
      </c>
      <c r="K20" s="5">
        <f>IFERROR(((J20/J27)*100),"")</f>
        <v>0.47356911178077604</v>
      </c>
      <c r="L20" s="7">
        <v>297.25</v>
      </c>
      <c r="M20" s="5">
        <f>IFERROR(((L20/L27)*100),"")</f>
        <v>0.19817385377176344</v>
      </c>
      <c r="N20" s="7">
        <v>247.55</v>
      </c>
      <c r="O20" s="5">
        <f>IFERROR(((N20/N27)*100),"")</f>
        <v>0.17427962251970106</v>
      </c>
      <c r="P20" s="7">
        <v>393.5</v>
      </c>
      <c r="Q20" s="5">
        <f>IFERROR(((P20/P27)*100),"")</f>
        <v>0.25493765980574462</v>
      </c>
      <c r="R20" s="7">
        <v>64.7</v>
      </c>
      <c r="S20" s="5">
        <f>IFERROR(((R20/R27)*100),"")</f>
        <v>4.8734811893794867E-2</v>
      </c>
      <c r="T20" s="7">
        <v>528.03</v>
      </c>
      <c r="U20" s="5">
        <f>IFERROR(((T20/T27)*100),"")</f>
        <v>0.36331552821425156</v>
      </c>
      <c r="V20" s="21">
        <v>1177.27</v>
      </c>
      <c r="W20" s="20">
        <f>IFERROR(((V20/V27)*100),"")</f>
        <v>0.75051007999673602</v>
      </c>
      <c r="X20" s="7">
        <f t="shared" si="0"/>
        <v>7139.5499999999993</v>
      </c>
      <c r="Y20" s="5">
        <f>IFERROR(((X20/X27)*100),"")</f>
        <v>0.42701705772121906</v>
      </c>
    </row>
    <row r="21" spans="1:25" outlineLevel="2" x14ac:dyDescent="0.2">
      <c r="A21" s="8" t="s">
        <v>17</v>
      </c>
      <c r="B21" s="7">
        <v>36</v>
      </c>
      <c r="C21" s="5">
        <f>IFERROR(((B21/B27)*100),"")</f>
        <v>2.2014367187536788E-2</v>
      </c>
      <c r="D21" s="7">
        <v>18</v>
      </c>
      <c r="E21" s="5">
        <f>IFERROR(((D21/D27)*100),"")</f>
        <v>1.2872587203375363E-2</v>
      </c>
      <c r="F21" s="7">
        <v>71.239999999999995</v>
      </c>
      <c r="G21" s="5">
        <f>IFERROR(((F21/F27)*100),"")</f>
        <v>4.3694185109887748E-2</v>
      </c>
      <c r="H21" s="7">
        <v>114.34</v>
      </c>
      <c r="I21" s="5">
        <f>IFERROR(((H21/H27)*100),"")</f>
        <v>7.0221385292163402E-2</v>
      </c>
      <c r="J21" s="7">
        <v>66.5</v>
      </c>
      <c r="K21" s="5">
        <f>IFERROR(((J21/J27)*100),"")</f>
        <v>4.1206864158876817E-2</v>
      </c>
      <c r="L21" s="7">
        <v>49.1</v>
      </c>
      <c r="M21" s="5">
        <f>IFERROR(((L21/L27)*100),"")</f>
        <v>3.2734520505276997E-2</v>
      </c>
      <c r="N21" s="7">
        <v>42.75</v>
      </c>
      <c r="O21" s="5">
        <f>IFERROR(((N21/N27)*100),"")</f>
        <v>3.009676373547655E-2</v>
      </c>
      <c r="P21" s="7">
        <v>160.12</v>
      </c>
      <c r="Q21" s="5">
        <f>IFERROR(((P21/P27)*100),"")</f>
        <v>0.10373727595450022</v>
      </c>
      <c r="R21" s="7">
        <v>192.04</v>
      </c>
      <c r="S21" s="5">
        <f>IFERROR(((R21/R27)*100),"")</f>
        <v>0.14465275542634259</v>
      </c>
      <c r="T21" s="7">
        <v>107.59</v>
      </c>
      <c r="U21" s="5">
        <f>IFERROR(((T21/T27)*100),"")</f>
        <v>7.4028213701061163E-2</v>
      </c>
      <c r="V21" s="21">
        <v>67.510000000000005</v>
      </c>
      <c r="W21" s="20">
        <f>IFERROR(((V21/V27)*100),"")</f>
        <v>4.3037651091575979E-2</v>
      </c>
      <c r="X21" s="7">
        <f t="shared" si="0"/>
        <v>925.18999999999994</v>
      </c>
      <c r="Y21" s="5">
        <f>IFERROR(((X21/X27)*100),"")</f>
        <v>5.5335688052201418E-2</v>
      </c>
    </row>
    <row r="22" spans="1:25" outlineLevel="2" x14ac:dyDescent="0.2">
      <c r="A22" s="8" t="s">
        <v>18</v>
      </c>
      <c r="C22" s="5">
        <f>IFERROR(((B22/B27)*100),"")</f>
        <v>0</v>
      </c>
      <c r="E22" s="5">
        <f>IFERROR(((D22/D27)*100),"")</f>
        <v>0</v>
      </c>
      <c r="G22" s="5">
        <f>IFERROR(((F22/F27)*100),"")</f>
        <v>0</v>
      </c>
      <c r="I22" s="5">
        <f>IFERROR(((H22/H27)*100),"")</f>
        <v>0</v>
      </c>
      <c r="K22" s="5">
        <f>IFERROR(((J22/J27)*100),"")</f>
        <v>0</v>
      </c>
      <c r="M22" s="5">
        <f>IFERROR(((L22/L27)*100),"")</f>
        <v>0</v>
      </c>
      <c r="N22" s="7">
        <v>1580.28</v>
      </c>
      <c r="O22" s="5">
        <f>IFERROR(((N22/N27)*100),"")</f>
        <v>1.112545351950851</v>
      </c>
      <c r="P22" s="7">
        <v>1777.29</v>
      </c>
      <c r="Q22" s="5">
        <f>IFERROR(((P22/P27)*100),"")</f>
        <v>1.1514565524679843</v>
      </c>
      <c r="R22" s="7">
        <v>1691</v>
      </c>
      <c r="S22" s="5">
        <f>IFERROR(((R22/R27)*100),"")</f>
        <v>1.2737336462504965</v>
      </c>
      <c r="T22" s="7">
        <v>1685</v>
      </c>
      <c r="U22" s="5">
        <f>IFERROR(((T22/T27)*100),"")</f>
        <v>1.1593785675833075</v>
      </c>
      <c r="V22" s="21">
        <v>1559.5</v>
      </c>
      <c r="W22" s="20">
        <f>IFERROR(((V22/V27)*100),"")</f>
        <v>0.99418185272274817</v>
      </c>
      <c r="X22" s="7">
        <f t="shared" si="0"/>
        <v>8293.07</v>
      </c>
      <c r="Y22" s="5">
        <f>IFERROR(((X22/X27)*100),"")</f>
        <v>0.49600918137363142</v>
      </c>
    </row>
    <row r="23" spans="1:25" outlineLevel="2" x14ac:dyDescent="0.2">
      <c r="A23" s="8" t="s">
        <v>19</v>
      </c>
      <c r="C23" s="5">
        <f>IFERROR(((B23/B27)*100),"")</f>
        <v>0</v>
      </c>
      <c r="E23" s="5">
        <f>IFERROR(((D23/D27)*100),"")</f>
        <v>0</v>
      </c>
      <c r="G23" s="5">
        <f>IFERROR(((F23/F27)*100),"")</f>
        <v>0</v>
      </c>
      <c r="I23" s="5">
        <f>IFERROR(((H23/H27)*100),"")</f>
        <v>0</v>
      </c>
      <c r="K23" s="5">
        <f>IFERROR(((J23/J27)*100),"")</f>
        <v>0</v>
      </c>
      <c r="M23" s="5">
        <f>IFERROR(((L23/L27)*100),"")</f>
        <v>0</v>
      </c>
      <c r="O23" s="5">
        <f>IFERROR(((N23/N27)*100),"")</f>
        <v>0</v>
      </c>
      <c r="Q23" s="5">
        <f>IFERROR(((P23/P27)*100),"")</f>
        <v>0</v>
      </c>
      <c r="R23" s="7">
        <v>199</v>
      </c>
      <c r="S23" s="5">
        <f>IFERROR(((R23/R27)*100),"")</f>
        <v>0.14989532560842628</v>
      </c>
      <c r="T23" s="7">
        <v>200</v>
      </c>
      <c r="U23" s="5">
        <f>IFERROR(((T23/T27)*100),"")</f>
        <v>0.13761169941641632</v>
      </c>
      <c r="V23" s="21">
        <v>198</v>
      </c>
      <c r="W23" s="20">
        <f>IFERROR(((V23/V27)*100),"")</f>
        <v>0.12622507652395265</v>
      </c>
      <c r="X23" s="7">
        <f t="shared" si="0"/>
        <v>597</v>
      </c>
      <c r="Y23" s="5">
        <f>IFERROR(((X23/X27)*100),"")</f>
        <v>3.5706617848403302E-2</v>
      </c>
    </row>
    <row r="24" spans="1:25" outlineLevel="2" x14ac:dyDescent="0.2">
      <c r="A24" s="8" t="s">
        <v>20</v>
      </c>
      <c r="C24" s="5">
        <f>IFERROR(((B24/B27)*100),"")</f>
        <v>0</v>
      </c>
      <c r="E24" s="5">
        <f>IFERROR(((D24/D27)*100),"")</f>
        <v>0</v>
      </c>
      <c r="G24" s="5">
        <f>IFERROR(((F24/F27)*100),"")</f>
        <v>0</v>
      </c>
      <c r="I24" s="5">
        <f>IFERROR(((H24/H27)*100),"")</f>
        <v>0</v>
      </c>
      <c r="K24" s="5">
        <f>IFERROR(((J24/J27)*100),"")</f>
        <v>0</v>
      </c>
      <c r="M24" s="5">
        <f>IFERROR(((L24/L27)*100),"")</f>
        <v>0</v>
      </c>
      <c r="O24" s="5">
        <f>IFERROR(((N24/N27)*100),"")</f>
        <v>0</v>
      </c>
      <c r="Q24" s="5">
        <f>IFERROR(((P24/P27)*100),"")</f>
        <v>0</v>
      </c>
      <c r="S24" s="5">
        <f>IFERROR(((R24/R27)*100),"")</f>
        <v>0</v>
      </c>
      <c r="T24" s="7">
        <v>157.03</v>
      </c>
      <c r="U24" s="5">
        <f>IFERROR(((T24/T27)*100),"")</f>
        <v>0.10804582579679928</v>
      </c>
      <c r="V24" s="21">
        <v>14.9</v>
      </c>
      <c r="W24" s="20">
        <f>IFERROR(((V24/V27)*100),"")</f>
        <v>9.4987557586206795E-3</v>
      </c>
      <c r="X24" s="7">
        <f t="shared" si="0"/>
        <v>171.93</v>
      </c>
      <c r="Y24" s="5">
        <f>IFERROR(((X24/X27)*100),"")</f>
        <v>1.0283147079859263E-2</v>
      </c>
    </row>
    <row r="25" spans="1:25" outlineLevel="1" x14ac:dyDescent="0.2">
      <c r="A25" s="9" t="s">
        <v>21</v>
      </c>
      <c r="B25" s="10">
        <f>B14+B15+B16+B17+B18+B19+B20+B21+B22+B23+B24</f>
        <v>20531.18</v>
      </c>
      <c r="C25" s="11">
        <f>IFERROR(((B25/B27)*100),"")</f>
        <v>12.5550259809281</v>
      </c>
      <c r="D25" s="10">
        <f>D14+D15+D16+D17+D18+D19+D20+D21+D22+D23+D24</f>
        <v>18583.03</v>
      </c>
      <c r="E25" s="11">
        <f>IFERROR(((D25/D27)*100),"")</f>
        <v>13.289537454330027</v>
      </c>
      <c r="F25" s="10">
        <f>F14+F15+F16+F17+F18+F19+F20+F21+F22+F23+F24</f>
        <v>17268.570000000003</v>
      </c>
      <c r="G25" s="11">
        <f>IFERROR(((F25/F27)*100),"")</f>
        <v>10.591466790609973</v>
      </c>
      <c r="H25" s="10">
        <f>H14+H15+H16+H17+H18+H19+H20+H21+H22+H23+H24</f>
        <v>23437.539999999997</v>
      </c>
      <c r="I25" s="11">
        <f>IFERROR(((H25/H27)*100),"")</f>
        <v>14.394057430824656</v>
      </c>
      <c r="J25" s="10">
        <f>J14+J15+J16+J17+J18+J19+J20+J21+J22+J23+J24</f>
        <v>19353.86</v>
      </c>
      <c r="K25" s="11">
        <f>IFERROR(((J25/J27)*100),"")</f>
        <v>11.992659849171723</v>
      </c>
      <c r="L25" s="10">
        <f>L14+L15+L16+L17+L18+L19+L20+L21+L22+L23+L24</f>
        <v>18808.449999999997</v>
      </c>
      <c r="M25" s="11">
        <f>IFERROR(((L25/L27)*100),"")</f>
        <v>12.539421429683847</v>
      </c>
      <c r="N25" s="10">
        <f>N14+N15+N16+N17+N18+N19+N20+N21+N22+N23+N24</f>
        <v>16078.65</v>
      </c>
      <c r="O25" s="11">
        <f>IFERROR(((N25/N27)*100),"")</f>
        <v>11.319656847612164</v>
      </c>
      <c r="P25" s="10">
        <f>P14+P15+P16+P17+P18+P19+P20+P21+P22+P23+P24</f>
        <v>18785.77</v>
      </c>
      <c r="Q25" s="11">
        <f>IFERROR(((P25/P27)*100),"")</f>
        <v>12.170775708891902</v>
      </c>
      <c r="R25" s="10">
        <f>R14+R15+R16+R17+R18+R19+R20+R21+R22+R23+R24</f>
        <v>19727.580000000002</v>
      </c>
      <c r="S25" s="11">
        <f>IFERROR(((R25/R27)*100),"")</f>
        <v>14.859658429981296</v>
      </c>
      <c r="T25" s="10">
        <f>T14+T15+T16+T17+T18+T19+T20+T21+T22+T23+T24</f>
        <v>20387.3</v>
      </c>
      <c r="U25" s="11">
        <f>IFERROR(((T25/T27)*100),"")</f>
        <v>14.027654997561523</v>
      </c>
      <c r="V25" s="22">
        <f>V14+V15+V16+V17+V18+V19+V20+V21+V22+V23+V24</f>
        <v>25318.22</v>
      </c>
      <c r="W25" s="23">
        <f>IFERROR(((V25/V27)*100),"")</f>
        <v>16.140375035102366</v>
      </c>
      <c r="X25" s="12">
        <f t="shared" si="0"/>
        <v>218280.15</v>
      </c>
      <c r="Y25" s="11">
        <f>IFERROR(((X25/X27)*100),"")</f>
        <v>13.055353266234757</v>
      </c>
    </row>
    <row r="26" spans="1:25" outlineLevel="1" x14ac:dyDescent="0.2">
      <c r="A26" s="6" t="s">
        <v>22</v>
      </c>
      <c r="B26" s="7">
        <v>850</v>
      </c>
      <c r="C26" s="5">
        <f>IFERROR(((B26/B27)*100),"")</f>
        <v>0.51978366970572976</v>
      </c>
      <c r="E26" s="5">
        <f>IFERROR(((D26/D27)*100),"")</f>
        <v>0</v>
      </c>
      <c r="G26" s="5">
        <f>IFERROR(((F26/F27)*100),"")</f>
        <v>0</v>
      </c>
      <c r="I26" s="5">
        <f>IFERROR(((H26/H27)*100),"")</f>
        <v>0</v>
      </c>
      <c r="J26" s="7">
        <v>445</v>
      </c>
      <c r="K26" s="5">
        <f>IFERROR(((J26/J27)*100),"")</f>
        <v>0.27574518121353658</v>
      </c>
      <c r="M26" s="5">
        <f>IFERROR(((L26/L27)*100),"")</f>
        <v>0</v>
      </c>
      <c r="O26" s="5">
        <f>IFERROR(((N26/N27)*100),"")</f>
        <v>0</v>
      </c>
      <c r="Q26" s="5">
        <f>IFERROR(((P26/P27)*100),"")</f>
        <v>0</v>
      </c>
      <c r="S26" s="5">
        <f>IFERROR(((R26/R27)*100),"")</f>
        <v>0</v>
      </c>
      <c r="U26" s="5">
        <f>IFERROR(((T26/T27)*100),"")</f>
        <v>0</v>
      </c>
      <c r="W26" s="20">
        <f>IFERROR(((V26/V27)*100),"")</f>
        <v>0</v>
      </c>
      <c r="X26" s="7">
        <f t="shared" si="0"/>
        <v>1295</v>
      </c>
      <c r="Y26" s="5">
        <f>IFERROR(((X26/X27)*100),"")</f>
        <v>7.7454053791762595E-2</v>
      </c>
    </row>
    <row r="27" spans="1:25" x14ac:dyDescent="0.2">
      <c r="A27" s="47" t="s">
        <v>23</v>
      </c>
      <c r="B27" s="48">
        <f>B8+B12+B13+B25+B26</f>
        <v>163529.56999999998</v>
      </c>
      <c r="C27" s="49">
        <f>IFERROR(((B27/B27)*100),"")</f>
        <v>100</v>
      </c>
      <c r="D27" s="48">
        <f>D8+D12+D13+D25+D26</f>
        <v>139832.03</v>
      </c>
      <c r="E27" s="49">
        <f>IFERROR(((D27/D27)*100),"")</f>
        <v>100</v>
      </c>
      <c r="F27" s="48">
        <f>F8+F12+F13+F25+F26</f>
        <v>163042.28999999998</v>
      </c>
      <c r="G27" s="49">
        <f>IFERROR(((F27/F27)*100),"")</f>
        <v>100</v>
      </c>
      <c r="H27" s="48">
        <f>H8+H12+H13+H25+H26</f>
        <v>162827.89000000001</v>
      </c>
      <c r="I27" s="49">
        <f>IFERROR(((H27/H27)*100),"")</f>
        <v>100</v>
      </c>
      <c r="J27" s="48">
        <f>J8+J12+J13+J25+J26</f>
        <v>161380.88</v>
      </c>
      <c r="K27" s="49">
        <f>IFERROR(((J27/J27)*100),"")</f>
        <v>100</v>
      </c>
      <c r="L27" s="48">
        <f>L8+L12+L13+L25+L26</f>
        <v>149994.56</v>
      </c>
      <c r="M27" s="49">
        <f>IFERROR(((L27/L27)*100),"")</f>
        <v>100</v>
      </c>
      <c r="N27" s="48">
        <f>N8+N12+N13+N25+N26</f>
        <v>142041.85</v>
      </c>
      <c r="O27" s="49">
        <f>IFERROR(((N27/N27)*100),"")</f>
        <v>100</v>
      </c>
      <c r="P27" s="48">
        <f>P8+P12+P13+P25+P26</f>
        <v>154351.46</v>
      </c>
      <c r="Q27" s="49">
        <f>IFERROR(((P27/P27)*100),"")</f>
        <v>100</v>
      </c>
      <c r="R27" s="48">
        <f>R8+R12+R13+R25+R26</f>
        <v>132759.31</v>
      </c>
      <c r="S27" s="49">
        <f>IFERROR(((R27/R27)*100),"")</f>
        <v>100</v>
      </c>
      <c r="T27" s="48">
        <f>T8+T12+T13+T25+T26</f>
        <v>145336.47999999998</v>
      </c>
      <c r="U27" s="49">
        <f>IFERROR(((T27/T27)*100),"")</f>
        <v>100</v>
      </c>
      <c r="V27" s="50">
        <f>V8+V12+V13+V25+V26</f>
        <v>156862.65</v>
      </c>
      <c r="W27" s="51">
        <f>IFERROR(((V27/V27)*100),"")</f>
        <v>100</v>
      </c>
      <c r="X27" s="52">
        <f t="shared" si="0"/>
        <v>1671958.97</v>
      </c>
      <c r="Y27" s="49">
        <f>IFERROR(((X27/X27)*100),"")</f>
        <v>100</v>
      </c>
    </row>
    <row r="28" spans="1:25" x14ac:dyDescent="0.2">
      <c r="A28" s="13"/>
      <c r="B28" s="16"/>
      <c r="C28" s="17"/>
      <c r="D28" s="16"/>
      <c r="E28" s="17"/>
      <c r="F28" s="16"/>
      <c r="G28" s="17"/>
      <c r="H28" s="16"/>
      <c r="I28" s="17"/>
      <c r="J28" s="16"/>
      <c r="K28" s="17"/>
      <c r="L28" s="16"/>
      <c r="M28" s="17"/>
      <c r="N28" s="16"/>
      <c r="O28" s="17"/>
      <c r="P28" s="16"/>
      <c r="Q28" s="17"/>
      <c r="R28" s="16"/>
      <c r="S28" s="17"/>
      <c r="T28" s="16"/>
      <c r="U28" s="17"/>
      <c r="V28" s="24"/>
      <c r="W28" s="25"/>
      <c r="X28" s="18"/>
      <c r="Y28" s="17"/>
    </row>
    <row r="29" spans="1:25" x14ac:dyDescent="0.2">
      <c r="A29" s="4" t="s">
        <v>24</v>
      </c>
      <c r="C29" s="5">
        <f>IFERROR(((B29/B27)*100),"")</f>
        <v>0</v>
      </c>
      <c r="E29" s="5">
        <f>IFERROR(((D29/D27)*100),"")</f>
        <v>0</v>
      </c>
      <c r="G29" s="5">
        <f>IFERROR(((F29/F27)*100),"")</f>
        <v>0</v>
      </c>
      <c r="I29" s="5">
        <f>IFERROR(((H29/H27)*100),"")</f>
        <v>0</v>
      </c>
      <c r="K29" s="5">
        <f>IFERROR(((J29/J27)*100),"")</f>
        <v>0</v>
      </c>
      <c r="M29" s="5">
        <f>IFERROR(((L29/L27)*100),"")</f>
        <v>0</v>
      </c>
      <c r="O29" s="5">
        <f>IFERROR(((N29/N27)*100),"")</f>
        <v>0</v>
      </c>
      <c r="Q29" s="5">
        <f>IFERROR(((P29/P27)*100),"")</f>
        <v>0</v>
      </c>
      <c r="S29" s="5">
        <f>IFERROR(((R29/R27)*100),"")</f>
        <v>0</v>
      </c>
      <c r="U29" s="5">
        <f>IFERROR(((T29/T27)*100),"")</f>
        <v>0</v>
      </c>
      <c r="W29" s="20">
        <f>IFERROR(((V29/V27)*100),"")</f>
        <v>0</v>
      </c>
    </row>
    <row r="30" spans="1:25" outlineLevel="1" x14ac:dyDescent="0.2">
      <c r="A30" s="6" t="s">
        <v>25</v>
      </c>
      <c r="C30" s="5">
        <f>IFERROR(((B30/B27)*100),"")</f>
        <v>0</v>
      </c>
      <c r="E30" s="5">
        <f>IFERROR(((D30/D27)*100),"")</f>
        <v>0</v>
      </c>
      <c r="G30" s="5">
        <f>IFERROR(((F30/F27)*100),"")</f>
        <v>0</v>
      </c>
      <c r="I30" s="5">
        <f>IFERROR(((H30/H27)*100),"")</f>
        <v>0</v>
      </c>
      <c r="K30" s="5">
        <f>IFERROR(((J30/J27)*100),"")</f>
        <v>0</v>
      </c>
      <c r="M30" s="5">
        <f>IFERROR(((L30/L27)*100),"")</f>
        <v>0</v>
      </c>
      <c r="O30" s="5">
        <f>IFERROR(((N30/N27)*100),"")</f>
        <v>0</v>
      </c>
      <c r="Q30" s="5">
        <f>IFERROR(((P30/P27)*100),"")</f>
        <v>0</v>
      </c>
      <c r="S30" s="5">
        <f>IFERROR(((R30/R27)*100),"")</f>
        <v>0</v>
      </c>
      <c r="U30" s="5">
        <f>IFERROR(((T30/T27)*100),"")</f>
        <v>0</v>
      </c>
      <c r="W30" s="20">
        <f>IFERROR(((V30/V27)*100),"")</f>
        <v>0</v>
      </c>
      <c r="Y30" s="5">
        <f>IFERROR(((X30/X27)*100),"")</f>
        <v>0</v>
      </c>
    </row>
    <row r="31" spans="1:25" outlineLevel="2" x14ac:dyDescent="0.2">
      <c r="A31" s="8" t="s">
        <v>26</v>
      </c>
      <c r="B31" s="7">
        <v>1220.3800000000001</v>
      </c>
      <c r="C31" s="5">
        <f>IFERROR(((B31/B27)*100),"")</f>
        <v>0.74627481745350421</v>
      </c>
      <c r="D31" s="7">
        <v>1646.21</v>
      </c>
      <c r="E31" s="5">
        <f>IFERROR(((D31/D27)*100),"")</f>
        <v>1.1772767655593643</v>
      </c>
      <c r="F31" s="7">
        <v>1038.28</v>
      </c>
      <c r="G31" s="5">
        <f>IFERROR(((F31/F27)*100),"")</f>
        <v>0.63681637445107031</v>
      </c>
      <c r="H31" s="7">
        <v>1944.04</v>
      </c>
      <c r="I31" s="5">
        <f>IFERROR(((H31/H27)*100),"")</f>
        <v>1.1939232277713601</v>
      </c>
      <c r="J31" s="7">
        <v>2522.15</v>
      </c>
      <c r="K31" s="5">
        <f>IFERROR(((J31/J27)*100),"")</f>
        <v>1.5628555253881378</v>
      </c>
      <c r="L31" s="7">
        <v>2320.65</v>
      </c>
      <c r="M31" s="5">
        <f>IFERROR(((L31/L27)*100),"")</f>
        <v>1.5471561101949298</v>
      </c>
      <c r="N31" s="7">
        <v>2070.48</v>
      </c>
      <c r="O31" s="5">
        <f>IFERROR(((N31/N27)*100),"")</f>
        <v>1.4576549094509821</v>
      </c>
      <c r="P31" s="7">
        <v>1521.68</v>
      </c>
      <c r="Q31" s="5">
        <f>IFERROR(((P31/P27)*100),"")</f>
        <v>0.98585397248590989</v>
      </c>
      <c r="R31" s="7">
        <v>1858.85</v>
      </c>
      <c r="S31" s="5">
        <f>IFERROR(((R31/R27)*100),"")</f>
        <v>1.4001654573227293</v>
      </c>
      <c r="T31" s="7">
        <v>1958.16</v>
      </c>
      <c r="U31" s="5">
        <f>IFERROR(((T31/T27)*100),"")</f>
        <v>1.347328626646249</v>
      </c>
      <c r="V31" s="21">
        <v>1826.08</v>
      </c>
      <c r="W31" s="20">
        <f>IFERROR(((V31/V27)*100),"")</f>
        <v>1.1641267057518154</v>
      </c>
      <c r="X31" s="7">
        <f>B31+D31+F31+H31+J31+L31+N31+P31+R31+T31+V31</f>
        <v>19926.96</v>
      </c>
      <c r="Y31" s="5">
        <f>IFERROR(((X31/X27)*100),"")</f>
        <v>1.1918330747075689</v>
      </c>
    </row>
    <row r="32" spans="1:25" outlineLevel="2" x14ac:dyDescent="0.2">
      <c r="A32" s="8" t="s">
        <v>27</v>
      </c>
      <c r="B32" s="7">
        <v>2492.42</v>
      </c>
      <c r="C32" s="5">
        <f>IFERROR(((B32/B27)*100),"")</f>
        <v>1.5241402518211236</v>
      </c>
      <c r="D32" s="7">
        <v>3573.7</v>
      </c>
      <c r="E32" s="5">
        <f>IFERROR(((D32/D27)*100),"")</f>
        <v>2.5557091604834743</v>
      </c>
      <c r="F32" s="7">
        <v>2597.2800000000002</v>
      </c>
      <c r="G32" s="5">
        <f>IFERROR(((F32/F27)*100),"")</f>
        <v>1.5930100098569524</v>
      </c>
      <c r="H32" s="7">
        <v>2912.24</v>
      </c>
      <c r="I32" s="5">
        <f>IFERROR(((H32/H27)*100),"")</f>
        <v>1.7885388062204819</v>
      </c>
      <c r="J32" s="7">
        <v>1280.9000000000001</v>
      </c>
      <c r="K32" s="5">
        <f>IFERROR(((J32/J27)*100),"")</f>
        <v>0.79371236543015511</v>
      </c>
      <c r="L32" s="7">
        <v>2278.5100000000002</v>
      </c>
      <c r="M32" s="5">
        <f>IFERROR(((L32/L27)*100),"")</f>
        <v>1.5190617579730894</v>
      </c>
      <c r="N32" s="7">
        <v>1501.58</v>
      </c>
      <c r="O32" s="5">
        <f>IFERROR(((N32/N27)*100),"")</f>
        <v>1.057139145962968</v>
      </c>
      <c r="P32" s="7">
        <v>1940.61</v>
      </c>
      <c r="Q32" s="5">
        <f>IFERROR(((P32/P27)*100),"")</f>
        <v>1.2572670190486051</v>
      </c>
      <c r="R32" s="7">
        <v>1533.06</v>
      </c>
      <c r="S32" s="5">
        <f>IFERROR(((R32/R27)*100),"")</f>
        <v>1.1547664717449948</v>
      </c>
      <c r="T32" s="7">
        <v>2701.48</v>
      </c>
      <c r="U32" s="5">
        <f>IFERROR(((T32/T27)*100),"")</f>
        <v>1.8587762686973017</v>
      </c>
      <c r="V32" s="21">
        <v>1902.15</v>
      </c>
      <c r="W32" s="20">
        <f>IFERROR(((V32/V27)*100),"")</f>
        <v>1.2126213601516995</v>
      </c>
      <c r="X32" s="7">
        <f>B32+D32+F32+H32+J32+L32+N32+P32+R32+T32+V32</f>
        <v>24713.93</v>
      </c>
      <c r="Y32" s="5">
        <f>IFERROR(((X32/X27)*100),"")</f>
        <v>1.4781421340740197</v>
      </c>
    </row>
    <row r="33" spans="1:25" outlineLevel="2" x14ac:dyDescent="0.2">
      <c r="A33" s="8" t="s">
        <v>28</v>
      </c>
      <c r="B33" s="7">
        <v>1157.3499999999999</v>
      </c>
      <c r="C33" s="5">
        <f>IFERROR(((B33/B27)*100),"")</f>
        <v>0.70773132956932505</v>
      </c>
      <c r="D33" s="7">
        <v>1342.37</v>
      </c>
      <c r="E33" s="5">
        <f>IFERROR(((D33/D27)*100),"")</f>
        <v>0.95998749356638813</v>
      </c>
      <c r="F33" s="7">
        <v>1168.1400000000001</v>
      </c>
      <c r="G33" s="5">
        <f>IFERROR(((F33/F27)*100),"")</f>
        <v>0.71646442159270474</v>
      </c>
      <c r="H33" s="7">
        <v>1436.58</v>
      </c>
      <c r="I33" s="5">
        <f>IFERROR(((H33/H27)*100),"")</f>
        <v>0.8822690019504642</v>
      </c>
      <c r="J33" s="7">
        <v>2005.08</v>
      </c>
      <c r="K33" s="5">
        <f>IFERROR(((J33/J27)*100),"")</f>
        <v>1.2424520178598604</v>
      </c>
      <c r="L33" s="7">
        <v>1915.86</v>
      </c>
      <c r="M33" s="5">
        <f>IFERROR(((L33/L27)*100),"")</f>
        <v>1.2772863229173113</v>
      </c>
      <c r="N33" s="7">
        <v>1441.26</v>
      </c>
      <c r="O33" s="5">
        <f>IFERROR(((N33/N27)*100),"")</f>
        <v>1.0146727883366768</v>
      </c>
      <c r="P33" s="7">
        <v>1475.21</v>
      </c>
      <c r="Q33" s="5">
        <f>IFERROR(((P33/P27)*100),"")</f>
        <v>0.9557473573622175</v>
      </c>
      <c r="R33" s="7">
        <v>1792.92</v>
      </c>
      <c r="S33" s="5">
        <f>IFERROR(((R33/R27)*100),"")</f>
        <v>1.3505041567329628</v>
      </c>
      <c r="T33" s="7">
        <v>2551.1799999999998</v>
      </c>
      <c r="U33" s="5">
        <f>IFERROR(((T33/T27)*100),"")</f>
        <v>1.7553610765858647</v>
      </c>
      <c r="V33" s="21">
        <v>2929.3</v>
      </c>
      <c r="W33" s="20">
        <f>IFERROR(((V33/V27)*100),"")</f>
        <v>1.8674298821293664</v>
      </c>
      <c r="X33" s="7">
        <f>B33+D33+F33+H33+J33+L33+N33+P33+R33+T33+V33</f>
        <v>19215.25</v>
      </c>
      <c r="Y33" s="5">
        <f>IFERROR(((X33/X27)*100),"")</f>
        <v>1.1492656425653796</v>
      </c>
    </row>
    <row r="34" spans="1:25" outlineLevel="1" x14ac:dyDescent="0.2">
      <c r="A34" s="9" t="s">
        <v>29</v>
      </c>
      <c r="B34" s="10">
        <f>B30+B31+B32+B33</f>
        <v>4870.1499999999996</v>
      </c>
      <c r="C34" s="11">
        <f>IFERROR(((B34/B27)*100),"")</f>
        <v>2.9781463988439523</v>
      </c>
      <c r="D34" s="10">
        <f>D30+D31+D32+D33</f>
        <v>6562.28</v>
      </c>
      <c r="E34" s="11">
        <f>IFERROR(((D34/D27)*100),"")</f>
        <v>4.6929734196092268</v>
      </c>
      <c r="F34" s="10">
        <f>F30+F31+F32+F33</f>
        <v>4803.7000000000007</v>
      </c>
      <c r="G34" s="11">
        <f>IFERROR(((F34/F27)*100),"")</f>
        <v>2.9462908059007273</v>
      </c>
      <c r="H34" s="10">
        <f>H30+H31+H32+H33</f>
        <v>6292.86</v>
      </c>
      <c r="I34" s="11">
        <f>IFERROR(((H34/H27)*100),"")</f>
        <v>3.8647310359423064</v>
      </c>
      <c r="J34" s="10">
        <f>J30+J31+J32+J33</f>
        <v>5808.13</v>
      </c>
      <c r="K34" s="11">
        <f>IFERROR(((J34/J27)*100),"")</f>
        <v>3.5990199086781534</v>
      </c>
      <c r="L34" s="10">
        <f>L30+L31+L32+L33</f>
        <v>6515.0199999999995</v>
      </c>
      <c r="M34" s="11">
        <f>IFERROR(((L34/L27)*100),"")</f>
        <v>4.34350419108533</v>
      </c>
      <c r="N34" s="10">
        <f>N30+N31+N32+N33</f>
        <v>5013.32</v>
      </c>
      <c r="O34" s="11">
        <f>IFERROR(((N34/N27)*100),"")</f>
        <v>3.5294668437506269</v>
      </c>
      <c r="P34" s="10">
        <f>P30+P31+P32+P33</f>
        <v>4937.5</v>
      </c>
      <c r="Q34" s="11">
        <f>IFERROR(((P34/P27)*100),"")</f>
        <v>3.198868348896732</v>
      </c>
      <c r="R34" s="10">
        <f>R30+R31+R32+R33</f>
        <v>5184.83</v>
      </c>
      <c r="S34" s="11">
        <f>IFERROR(((R34/R27)*100),"")</f>
        <v>3.9054360858006869</v>
      </c>
      <c r="T34" s="10">
        <f>T30+T31+T32+T33</f>
        <v>7210.82</v>
      </c>
      <c r="U34" s="11">
        <f>IFERROR(((T34/T27)*100),"")</f>
        <v>4.9614659719294156</v>
      </c>
      <c r="V34" s="22">
        <f>V30+V31+V32+V33</f>
        <v>6657.5300000000007</v>
      </c>
      <c r="W34" s="23">
        <f>IFERROR(((V34/V27)*100),"")</f>
        <v>4.2441779480328821</v>
      </c>
      <c r="X34" s="12">
        <f>B34+D34+F34+H34+J34+L34+N34+P34+R34+T34+V34</f>
        <v>63856.14</v>
      </c>
      <c r="Y34" s="11">
        <f>IFERROR(((X34/X27)*100),"")</f>
        <v>3.8192408513469682</v>
      </c>
    </row>
    <row r="35" spans="1:25" outlineLevel="1" x14ac:dyDescent="0.2">
      <c r="A35" s="6" t="s">
        <v>30</v>
      </c>
      <c r="C35" s="5">
        <f>IFERROR(((B35/B27)*100),"")</f>
        <v>0</v>
      </c>
      <c r="E35" s="5">
        <f>IFERROR(((D35/D27)*100),"")</f>
        <v>0</v>
      </c>
      <c r="G35" s="5">
        <f>IFERROR(((F35/F27)*100),"")</f>
        <v>0</v>
      </c>
      <c r="I35" s="5">
        <f>IFERROR(((H35/H27)*100),"")</f>
        <v>0</v>
      </c>
      <c r="K35" s="5">
        <f>IFERROR(((J35/J27)*100),"")</f>
        <v>0</v>
      </c>
      <c r="M35" s="5">
        <f>IFERROR(((L35/L27)*100),"")</f>
        <v>0</v>
      </c>
      <c r="O35" s="5">
        <f>IFERROR(((N35/N27)*100),"")</f>
        <v>0</v>
      </c>
      <c r="Q35" s="5">
        <f>IFERROR(((P35/P27)*100),"")</f>
        <v>0</v>
      </c>
      <c r="S35" s="5">
        <f>IFERROR(((R35/R27)*100),"")</f>
        <v>0</v>
      </c>
      <c r="U35" s="5">
        <f>IFERROR(((T35/T27)*100),"")</f>
        <v>0</v>
      </c>
      <c r="W35" s="20">
        <f>IFERROR(((V35/V27)*100),"")</f>
        <v>0</v>
      </c>
      <c r="Y35" s="5">
        <f>IFERROR(((X35/X27)*100),"")</f>
        <v>0</v>
      </c>
    </row>
    <row r="36" spans="1:25" outlineLevel="2" x14ac:dyDescent="0.2">
      <c r="A36" s="8" t="s">
        <v>31</v>
      </c>
      <c r="B36" s="7">
        <v>339.5</v>
      </c>
      <c r="C36" s="5">
        <f>IFERROR(((B36/B27)*100),"")</f>
        <v>0.20760771278246501</v>
      </c>
      <c r="D36" s="7">
        <v>287.5</v>
      </c>
      <c r="E36" s="5">
        <f>IFERROR(((D36/D27)*100),"")</f>
        <v>0.20560382338724539</v>
      </c>
      <c r="F36" s="7">
        <v>424.87</v>
      </c>
      <c r="G36" s="5">
        <f>IFERROR(((F36/F27)*100),"")</f>
        <v>0.26058883250474468</v>
      </c>
      <c r="H36" s="7">
        <v>941.42</v>
      </c>
      <c r="I36" s="5">
        <f>IFERROR(((H36/H27)*100),"")</f>
        <v>0.57816876457712485</v>
      </c>
      <c r="J36" s="7">
        <v>490.8</v>
      </c>
      <c r="K36" s="5">
        <f>IFERROR(((J36/J27)*100),"")</f>
        <v>0.30412524705528932</v>
      </c>
      <c r="L36" s="7">
        <v>465.8</v>
      </c>
      <c r="M36" s="5">
        <f>IFERROR(((L36/L27)*100),"")</f>
        <v>0.31054459575067261</v>
      </c>
      <c r="N36" s="7">
        <v>482.32</v>
      </c>
      <c r="O36" s="5">
        <f>IFERROR(((N36/N27)*100),"")</f>
        <v>0.33956189672269121</v>
      </c>
      <c r="P36" s="7">
        <v>300.39999999999998</v>
      </c>
      <c r="Q36" s="5">
        <f>IFERROR(((P36/P27)*100),"")</f>
        <v>0.19462077002705383</v>
      </c>
      <c r="R36" s="7">
        <v>976.12</v>
      </c>
      <c r="S36" s="5">
        <f>IFERROR(((R36/R27)*100),"")</f>
        <v>0.73525540318038707</v>
      </c>
      <c r="T36" s="7">
        <v>910.7</v>
      </c>
      <c r="U36" s="5">
        <f>IFERROR(((T36/T27)*100),"")</f>
        <v>0.62661487329265175</v>
      </c>
      <c r="W36" s="20">
        <f>IFERROR(((V36/V27)*100),"")</f>
        <v>0</v>
      </c>
      <c r="X36" s="7">
        <f t="shared" ref="X36:X41" si="1">B36+D36+F36+H36+J36+L36+N36+P36+R36+T36+V36</f>
        <v>5619.43</v>
      </c>
      <c r="Y36" s="5">
        <f>IFERROR(((X36/X27)*100),"")</f>
        <v>0.33609855868652089</v>
      </c>
    </row>
    <row r="37" spans="1:25" outlineLevel="2" x14ac:dyDescent="0.2">
      <c r="A37" s="8" t="s">
        <v>32</v>
      </c>
      <c r="B37" s="7">
        <v>2172.21</v>
      </c>
      <c r="C37" s="5">
        <f>IFERROR(((B37/B27)*100),"")</f>
        <v>1.3283285707899801</v>
      </c>
      <c r="D37" s="7">
        <v>1702.07</v>
      </c>
      <c r="E37" s="5">
        <f>IFERROR(((D37/D27)*100),"")</f>
        <v>1.2172246945138392</v>
      </c>
      <c r="F37" s="7">
        <v>1671.02</v>
      </c>
      <c r="G37" s="5">
        <f>IFERROR(((F37/F27)*100),"")</f>
        <v>1.0248997361359438</v>
      </c>
      <c r="H37" s="7">
        <v>1628.17</v>
      </c>
      <c r="I37" s="5">
        <f>IFERROR(((H37/H27)*100),"")</f>
        <v>0.99993311956569597</v>
      </c>
      <c r="J37" s="7">
        <v>1831.9</v>
      </c>
      <c r="K37" s="5">
        <f>IFERROR(((J37/J27)*100),"")</f>
        <v>1.1351406684608485</v>
      </c>
      <c r="L37" s="7">
        <v>1589.25</v>
      </c>
      <c r="M37" s="5">
        <f>IFERROR(((L37/L27)*100),"")</f>
        <v>1.0595384259269136</v>
      </c>
      <c r="N37" s="7">
        <v>1786.62</v>
      </c>
      <c r="O37" s="5">
        <f>IFERROR(((N37/N27)*100),"")</f>
        <v>1.2578123982474179</v>
      </c>
      <c r="P37" s="7">
        <v>454.7</v>
      </c>
      <c r="Q37" s="5">
        <f>IFERROR(((P37/P27)*100),"")</f>
        <v>0.29458743053029757</v>
      </c>
      <c r="R37" s="7">
        <v>995.37</v>
      </c>
      <c r="S37" s="5">
        <f>IFERROR(((R37/R27)*100),"")</f>
        <v>0.74975532789376509</v>
      </c>
      <c r="T37" s="7">
        <v>1341.49</v>
      </c>
      <c r="U37" s="5">
        <f>IFERROR(((T37/T27)*100),"")</f>
        <v>0.92302359325064176</v>
      </c>
      <c r="V37" s="21">
        <v>1557.72</v>
      </c>
      <c r="W37" s="20">
        <f>IFERROR(((V37/V27)*100),"")</f>
        <v>0.99304710203480562</v>
      </c>
      <c r="X37" s="7">
        <f t="shared" si="1"/>
        <v>16730.52</v>
      </c>
      <c r="Y37" s="5">
        <f>IFERROR(((X37/X27)*100),"")</f>
        <v>1.0006537421190425</v>
      </c>
    </row>
    <row r="38" spans="1:25" outlineLevel="2" x14ac:dyDescent="0.2">
      <c r="A38" s="8" t="s">
        <v>33</v>
      </c>
      <c r="B38" s="7">
        <v>161.13</v>
      </c>
      <c r="C38" s="5">
        <f>IFERROR(((B38/B27)*100),"")</f>
        <v>9.8532638470216732E-2</v>
      </c>
      <c r="D38" s="7">
        <v>161.37</v>
      </c>
      <c r="E38" s="5">
        <f>IFERROR(((D38/D27)*100),"")</f>
        <v>0.11540274427826014</v>
      </c>
      <c r="F38" s="7">
        <v>114.35</v>
      </c>
      <c r="G38" s="5">
        <f>IFERROR(((F38/F27)*100),"")</f>
        <v>7.0135177811842558E-2</v>
      </c>
      <c r="H38" s="7">
        <v>473.07</v>
      </c>
      <c r="I38" s="5">
        <f>IFERROR(((H38/H27)*100),"")</f>
        <v>0.2905337654378497</v>
      </c>
      <c r="J38" s="7">
        <v>590.53</v>
      </c>
      <c r="K38" s="5">
        <f>IFERROR(((J38/J27)*100),"")</f>
        <v>0.3659231502517522</v>
      </c>
      <c r="L38" s="7">
        <v>493.62</v>
      </c>
      <c r="M38" s="5">
        <f>IFERROR(((L38/L27)*100),"")</f>
        <v>0.32909193506751183</v>
      </c>
      <c r="N38" s="7">
        <v>311.31</v>
      </c>
      <c r="O38" s="5">
        <f>IFERROR(((N38/N27)*100),"")</f>
        <v>0.21916780160213342</v>
      </c>
      <c r="P38" s="7">
        <v>440.29</v>
      </c>
      <c r="Q38" s="5">
        <f>IFERROR(((P38/P27)*100),"")</f>
        <v>0.28525159399204908</v>
      </c>
      <c r="R38" s="7">
        <v>421.96</v>
      </c>
      <c r="S38" s="5">
        <f>IFERROR(((R38/R27)*100),"")</f>
        <v>0.31783834971724395</v>
      </c>
      <c r="T38" s="7">
        <v>441.8</v>
      </c>
      <c r="U38" s="5">
        <f>IFERROR(((T38/T27)*100),"")</f>
        <v>0.30398424401086366</v>
      </c>
      <c r="V38" s="21">
        <v>300.45999999999998</v>
      </c>
      <c r="W38" s="20">
        <f>IFERROR(((V38/V27)*100),"")</f>
        <v>0.19154336612316572</v>
      </c>
      <c r="X38" s="7">
        <f t="shared" si="1"/>
        <v>3909.8900000000003</v>
      </c>
      <c r="Y38" s="5">
        <f>IFERROR(((X38/X27)*100),"")</f>
        <v>0.23385083427017356</v>
      </c>
    </row>
    <row r="39" spans="1:25" outlineLevel="1" x14ac:dyDescent="0.2">
      <c r="A39" s="9" t="s">
        <v>34</v>
      </c>
      <c r="B39" s="10">
        <f>B35+B36+B37+B38</f>
        <v>2672.84</v>
      </c>
      <c r="C39" s="11">
        <f>IFERROR(((B39/B27)*100),"")</f>
        <v>1.634468922042662</v>
      </c>
      <c r="D39" s="10">
        <f>D35+D36+D37+D38</f>
        <v>2150.94</v>
      </c>
      <c r="E39" s="11">
        <f>IFERROR(((D39/D27)*100),"")</f>
        <v>1.5382312621793448</v>
      </c>
      <c r="F39" s="10">
        <f>F35+F36+F37+F38</f>
        <v>2210.2399999999998</v>
      </c>
      <c r="G39" s="11">
        <f>IFERROR(((F39/F27)*100),"")</f>
        <v>1.3556237464525309</v>
      </c>
      <c r="H39" s="10">
        <f>H35+H36+H37+H38</f>
        <v>3042.6600000000003</v>
      </c>
      <c r="I39" s="11">
        <f>IFERROR(((H39/H27)*100),"")</f>
        <v>1.8686356495806706</v>
      </c>
      <c r="J39" s="10">
        <f>J35+J36+J37+J38</f>
        <v>2913.2300000000005</v>
      </c>
      <c r="K39" s="11">
        <f>IFERROR(((J39/J27)*100),"")</f>
        <v>1.8051890657678906</v>
      </c>
      <c r="L39" s="10">
        <f>L35+L36+L37+L38</f>
        <v>2548.67</v>
      </c>
      <c r="M39" s="11">
        <f>IFERROR(((L39/L27)*100),"")</f>
        <v>1.699174956745098</v>
      </c>
      <c r="N39" s="10">
        <f>N35+N36+N37+N38</f>
        <v>2580.25</v>
      </c>
      <c r="O39" s="11">
        <f>IFERROR(((N39/N27)*100),"")</f>
        <v>1.8165420965722423</v>
      </c>
      <c r="P39" s="10">
        <f>P35+P36+P37+P38</f>
        <v>1195.3899999999999</v>
      </c>
      <c r="Q39" s="11">
        <f>IFERROR(((P39/P27)*100),"")</f>
        <v>0.77445979454940039</v>
      </c>
      <c r="R39" s="10">
        <f>R35+R36+R37+R38</f>
        <v>2393.4499999999998</v>
      </c>
      <c r="S39" s="11">
        <f>IFERROR(((R39/R27)*100),"")</f>
        <v>1.8028490807913959</v>
      </c>
      <c r="T39" s="10">
        <f>T35+T36+T37+T38</f>
        <v>2693.9900000000002</v>
      </c>
      <c r="U39" s="11">
        <f>IFERROR(((T39/T27)*100),"")</f>
        <v>1.8536227105541572</v>
      </c>
      <c r="V39" s="22">
        <f>V35+V36+V37+V38</f>
        <v>1858.18</v>
      </c>
      <c r="W39" s="23">
        <f>IFERROR(((V39/V27)*100),"")</f>
        <v>1.1845904681579713</v>
      </c>
      <c r="X39" s="12">
        <f t="shared" si="1"/>
        <v>26259.840000000004</v>
      </c>
      <c r="Y39" s="11">
        <f>IFERROR(((X39/X27)*100),"")</f>
        <v>1.5706031350757372</v>
      </c>
    </row>
    <row r="40" spans="1:25" outlineLevel="1" x14ac:dyDescent="0.2">
      <c r="A40" s="6" t="s">
        <v>35</v>
      </c>
      <c r="B40" s="7">
        <v>26496.52</v>
      </c>
      <c r="C40" s="5">
        <f>IFERROR(((B40/B27)*100),"")</f>
        <v>16.202892235330896</v>
      </c>
      <c r="D40" s="7">
        <v>22589.29</v>
      </c>
      <c r="E40" s="5">
        <f>IFERROR(((D40/D27)*100),"")</f>
        <v>16.154589188185284</v>
      </c>
      <c r="F40" s="7">
        <v>23198.47</v>
      </c>
      <c r="G40" s="5">
        <f>IFERROR(((F40/F27)*100),"")</f>
        <v>14.228498630631355</v>
      </c>
      <c r="H40" s="7">
        <v>24027.52</v>
      </c>
      <c r="I40" s="5">
        <f>IFERROR(((H40/H27)*100),"")</f>
        <v>14.756390935238429</v>
      </c>
      <c r="J40" s="7">
        <v>22607</v>
      </c>
      <c r="K40" s="5">
        <f>IFERROR(((J40/J27)*100),"")</f>
        <v>14.008474857740271</v>
      </c>
      <c r="L40" s="7">
        <v>22135.65</v>
      </c>
      <c r="M40" s="5">
        <f>IFERROR(((L40/L27)*100),"")</f>
        <v>14.757635210236957</v>
      </c>
      <c r="N40" s="7">
        <v>23368.25</v>
      </c>
      <c r="O40" s="5">
        <f>IFERROR(((N40/N27)*100),"")</f>
        <v>16.451665477463155</v>
      </c>
      <c r="P40" s="7">
        <v>23938.32</v>
      </c>
      <c r="Q40" s="5">
        <f>IFERROR(((P40/P27)*100),"")</f>
        <v>15.508968946584634</v>
      </c>
      <c r="R40" s="7">
        <v>19847.400000000001</v>
      </c>
      <c r="S40" s="5">
        <f>IFERROR(((R40/R27)*100),"")</f>
        <v>14.949911987340098</v>
      </c>
      <c r="T40" s="7">
        <v>28104.5</v>
      </c>
      <c r="U40" s="5">
        <f>IFERROR(((T40/T27)*100),"")</f>
        <v>19.337540031243364</v>
      </c>
      <c r="V40" s="21">
        <v>24193</v>
      </c>
      <c r="W40" s="20">
        <f>IFERROR(((V40/V27)*100),"")</f>
        <v>15.423046850222152</v>
      </c>
      <c r="X40" s="7">
        <f t="shared" si="1"/>
        <v>260505.92</v>
      </c>
      <c r="Y40" s="5">
        <f>IFERROR(((X40/X27)*100),"")</f>
        <v>15.580879954249118</v>
      </c>
    </row>
    <row r="41" spans="1:25" outlineLevel="1" x14ac:dyDescent="0.2">
      <c r="A41" s="6" t="s">
        <v>36</v>
      </c>
      <c r="B41" s="7">
        <v>12714</v>
      </c>
      <c r="C41" s="5">
        <f>IFERROR(((B41/B27)*100),"")</f>
        <v>7.774740678398409</v>
      </c>
      <c r="D41" s="7">
        <v>10482.4</v>
      </c>
      <c r="E41" s="5">
        <f>IFERROR(((D41/D27)*100),"")</f>
        <v>7.4964226722589959</v>
      </c>
      <c r="F41" s="7">
        <v>10840.09</v>
      </c>
      <c r="G41" s="5">
        <f>IFERROR(((F41/F27)*100),"")</f>
        <v>6.6486369885997068</v>
      </c>
      <c r="H41" s="7">
        <v>10744.06</v>
      </c>
      <c r="I41" s="5">
        <f>IFERROR(((H41/H27)*100),"")</f>
        <v>6.5984150503946211</v>
      </c>
      <c r="J41" s="7">
        <v>9943.59</v>
      </c>
      <c r="K41" s="5">
        <f>IFERROR(((J41/J27)*100),"")</f>
        <v>6.1615663516024943</v>
      </c>
      <c r="L41" s="7">
        <v>9737.1</v>
      </c>
      <c r="M41" s="5">
        <f>IFERROR(((L41/L27)*100),"")</f>
        <v>6.4916354299782615</v>
      </c>
      <c r="N41" s="7">
        <v>11511.59</v>
      </c>
      <c r="O41" s="5">
        <f>IFERROR(((N41/N27)*100),"")</f>
        <v>8.1043650163666552</v>
      </c>
      <c r="P41" s="7">
        <v>9015</v>
      </c>
      <c r="Q41" s="5">
        <f>IFERROR(((P41/P27)*100),"")</f>
        <v>5.8405667170236031</v>
      </c>
      <c r="R41" s="7">
        <v>8954.41</v>
      </c>
      <c r="S41" s="5">
        <f>IFERROR(((R41/R27)*100),"")</f>
        <v>6.7448452391022524</v>
      </c>
      <c r="T41" s="7">
        <v>12117</v>
      </c>
      <c r="U41" s="5">
        <f>IFERROR(((T41/T27)*100),"")</f>
        <v>8.337204809143584</v>
      </c>
      <c r="V41" s="21">
        <v>7096</v>
      </c>
      <c r="W41" s="20">
        <f>IFERROR(((V41/V27)*100),"")</f>
        <v>4.5237027424947875</v>
      </c>
      <c r="X41" s="7">
        <f t="shared" si="1"/>
        <v>113155.24</v>
      </c>
      <c r="Y41" s="5">
        <f>IFERROR(((X41/X27)*100),"")</f>
        <v>6.7678239735751422</v>
      </c>
    </row>
    <row r="42" spans="1:25" outlineLevel="1" x14ac:dyDescent="0.2">
      <c r="A42" s="6" t="s">
        <v>37</v>
      </c>
      <c r="C42" s="5">
        <f>IFERROR(((B42/B27)*100),"")</f>
        <v>0</v>
      </c>
      <c r="E42" s="5">
        <f>IFERROR(((D42/D27)*100),"")</f>
        <v>0</v>
      </c>
      <c r="G42" s="5">
        <f>IFERROR(((F42/F27)*100),"")</f>
        <v>0</v>
      </c>
      <c r="I42" s="5">
        <f>IFERROR(((H42/H27)*100),"")</f>
        <v>0</v>
      </c>
      <c r="K42" s="5">
        <f>IFERROR(((J42/J27)*100),"")</f>
        <v>0</v>
      </c>
      <c r="M42" s="5">
        <f>IFERROR(((L42/L27)*100),"")</f>
        <v>0</v>
      </c>
      <c r="O42" s="5">
        <f>IFERROR(((N42/N27)*100),"")</f>
        <v>0</v>
      </c>
      <c r="Q42" s="5">
        <f>IFERROR(((P42/P27)*100),"")</f>
        <v>0</v>
      </c>
      <c r="S42" s="5">
        <f>IFERROR(((R42/R27)*100),"")</f>
        <v>0</v>
      </c>
      <c r="U42" s="5">
        <f>IFERROR(((T42/T27)*100),"")</f>
        <v>0</v>
      </c>
      <c r="W42" s="20">
        <f>IFERROR(((V42/V27)*100),"")</f>
        <v>0</v>
      </c>
      <c r="Y42" s="5">
        <f>IFERROR(((X42/X27)*100),"")</f>
        <v>0</v>
      </c>
    </row>
    <row r="43" spans="1:25" outlineLevel="2" x14ac:dyDescent="0.2">
      <c r="A43" s="8" t="s">
        <v>38</v>
      </c>
      <c r="B43" s="7">
        <v>3868.62</v>
      </c>
      <c r="C43" s="5">
        <f>IFERROR(((B43/B27)*100),"")</f>
        <v>2.3657005885846827</v>
      </c>
      <c r="D43" s="7">
        <v>3106.13</v>
      </c>
      <c r="E43" s="5">
        <f>IFERROR(((D43/D27)*100),"")</f>
        <v>2.221329405001129</v>
      </c>
      <c r="F43" s="7">
        <v>3906.39</v>
      </c>
      <c r="G43" s="5">
        <f>IFERROR(((F43/F27)*100),"")</f>
        <v>2.39593666158639</v>
      </c>
      <c r="H43" s="7">
        <v>3077.26</v>
      </c>
      <c r="I43" s="5">
        <f>IFERROR(((H43/H27)*100),"")</f>
        <v>1.8898850804981875</v>
      </c>
      <c r="J43" s="7">
        <v>3073.13</v>
      </c>
      <c r="K43" s="5">
        <f>IFERROR(((J43/J27)*100),"")</f>
        <v>1.904271435376979</v>
      </c>
      <c r="L43" s="7">
        <v>3852.76</v>
      </c>
      <c r="M43" s="5">
        <f>IFERROR(((L43/L27)*100),"")</f>
        <v>2.5685998212201833</v>
      </c>
      <c r="N43" s="7">
        <v>3089.64</v>
      </c>
      <c r="O43" s="5">
        <f>IFERROR(((N43/N27)*100),"")</f>
        <v>2.175161756904743</v>
      </c>
      <c r="P43" s="7">
        <v>3844.52</v>
      </c>
      <c r="Q43" s="5">
        <f>IFERROR(((P43/P27)*100),"")</f>
        <v>2.4907571331038918</v>
      </c>
      <c r="R43" s="7">
        <v>3087.86</v>
      </c>
      <c r="S43" s="5">
        <f>IFERROR(((R43/R27)*100),"")</f>
        <v>2.3259084428805785</v>
      </c>
      <c r="T43" s="7">
        <v>3115.56</v>
      </c>
      <c r="U43" s="5">
        <f>IFERROR(((T43/T27)*100),"")</f>
        <v>2.14368753116905</v>
      </c>
      <c r="V43" s="21">
        <v>4459.75</v>
      </c>
      <c r="W43" s="20">
        <f>IFERROR(((V43/V27)*100),"")</f>
        <v>2.8430923486247366</v>
      </c>
      <c r="X43" s="7">
        <f t="shared" ref="X43:X49" si="2">B43+D43+F43+H43+J43+L43+N43+P43+R43+T43+V43</f>
        <v>38481.620000000003</v>
      </c>
      <c r="Y43" s="5">
        <f>IFERROR(((X43/X27)*100),"")</f>
        <v>2.3015887764279288</v>
      </c>
    </row>
    <row r="44" spans="1:25" outlineLevel="2" x14ac:dyDescent="0.2">
      <c r="A44" s="8" t="s">
        <v>39</v>
      </c>
      <c r="B44" s="7">
        <v>526.32000000000005</v>
      </c>
      <c r="C44" s="5">
        <f>IFERROR(((B44/B27)*100),"")</f>
        <v>0.32185004828178793</v>
      </c>
      <c r="D44" s="7">
        <v>631.12</v>
      </c>
      <c r="E44" s="5">
        <f>IFERROR(((D44/D27)*100),"")</f>
        <v>0.45134151309968112</v>
      </c>
      <c r="F44" s="7">
        <v>810.57</v>
      </c>
      <c r="G44" s="5">
        <f>IFERROR(((F44/F27)*100),"")</f>
        <v>0.49715322325269118</v>
      </c>
      <c r="H44" s="7">
        <v>600.19000000000005</v>
      </c>
      <c r="I44" s="5">
        <f>IFERROR(((H44/H27)*100),"")</f>
        <v>0.36860392897064503</v>
      </c>
      <c r="J44" s="7">
        <v>594</v>
      </c>
      <c r="K44" s="5">
        <f>IFERROR(((J44/J27)*100),"")</f>
        <v>0.36807334301312522</v>
      </c>
      <c r="L44" s="7">
        <v>693.01</v>
      </c>
      <c r="M44" s="5">
        <f>IFERROR(((L44/L27)*100),"")</f>
        <v>0.46202342271613056</v>
      </c>
      <c r="N44" s="7">
        <v>538.32000000000005</v>
      </c>
      <c r="O44" s="5">
        <f>IFERROR(((N44/N27)*100),"")</f>
        <v>0.37898689717150269</v>
      </c>
      <c r="P44" s="7">
        <v>383.62</v>
      </c>
      <c r="Q44" s="5">
        <f>IFERROR(((P44/P27)*100),"")</f>
        <v>0.24853668374759788</v>
      </c>
      <c r="R44" s="7">
        <v>278.45</v>
      </c>
      <c r="S44" s="5">
        <f>IFERROR(((R44/R27)*100),"")</f>
        <v>0.20974046942545876</v>
      </c>
      <c r="T44" s="7">
        <v>198.01</v>
      </c>
      <c r="U44" s="5">
        <f>IFERROR(((T44/T27)*100),"")</f>
        <v>0.13624246300722298</v>
      </c>
      <c r="V44" s="21">
        <v>294.95</v>
      </c>
      <c r="W44" s="20">
        <f>IFERROR(((V44/V27)*100),"")</f>
        <v>0.18803073899363554</v>
      </c>
      <c r="X44" s="7">
        <f t="shared" si="2"/>
        <v>5548.5599999999995</v>
      </c>
      <c r="Y44" s="5">
        <f>IFERROR(((X44/X27)*100),"")</f>
        <v>0.33185981830642647</v>
      </c>
    </row>
    <row r="45" spans="1:25" outlineLevel="2" x14ac:dyDescent="0.2">
      <c r="A45" s="8" t="s">
        <v>40</v>
      </c>
      <c r="B45" s="7">
        <v>13294.72</v>
      </c>
      <c r="C45" s="5">
        <f>IFERROR(((B45/B27)*100),"")</f>
        <v>8.1298568815413645</v>
      </c>
      <c r="D45" s="7">
        <v>11474.82</v>
      </c>
      <c r="E45" s="5">
        <f>IFERROR(((D45/D27)*100),"")</f>
        <v>8.2061456162797608</v>
      </c>
      <c r="F45" s="7">
        <v>12480.78</v>
      </c>
      <c r="G45" s="5">
        <f>IFERROR(((F45/F27)*100),"")</f>
        <v>7.6549341891603717</v>
      </c>
      <c r="H45" s="7">
        <v>14810.93</v>
      </c>
      <c r="I45" s="5">
        <f>IFERROR(((H45/H27)*100),"")</f>
        <v>9.096064562403896</v>
      </c>
      <c r="J45" s="7">
        <v>13932.15</v>
      </c>
      <c r="K45" s="5">
        <f>IFERROR(((J45/J27)*100),"")</f>
        <v>8.6330859021217385</v>
      </c>
      <c r="L45" s="7">
        <v>13830.89</v>
      </c>
      <c r="M45" s="5">
        <f>IFERROR(((L45/L27)*100),"")</f>
        <v>9.2209277456462413</v>
      </c>
      <c r="N45" s="7">
        <v>13814.46</v>
      </c>
      <c r="O45" s="5">
        <f>IFERROR(((N45/N27)*100),"")</f>
        <v>9.7256266375015521</v>
      </c>
      <c r="P45" s="7">
        <v>13510.36</v>
      </c>
      <c r="Q45" s="5">
        <f>IFERROR(((P45/P27)*100),"")</f>
        <v>8.7529849085975613</v>
      </c>
      <c r="R45" s="7">
        <v>12731.99</v>
      </c>
      <c r="S45" s="5">
        <f>IFERROR(((R45/R27)*100),"")</f>
        <v>9.5902803351418449</v>
      </c>
      <c r="T45" s="7">
        <v>11958.71</v>
      </c>
      <c r="U45" s="5">
        <f>IFERROR(((T45/T27)*100),"")</f>
        <v>8.2282920296404587</v>
      </c>
      <c r="V45" s="21">
        <v>11271.43</v>
      </c>
      <c r="W45" s="20">
        <f>IFERROR(((V45/V27)*100),"")</f>
        <v>7.1855409812342206</v>
      </c>
      <c r="X45" s="7">
        <f t="shared" si="2"/>
        <v>143111.24</v>
      </c>
      <c r="Y45" s="5">
        <f>IFERROR(((X45/X27)*100),"")</f>
        <v>8.5594947344910022</v>
      </c>
    </row>
    <row r="46" spans="1:25" outlineLevel="2" x14ac:dyDescent="0.2">
      <c r="A46" s="8" t="s">
        <v>41</v>
      </c>
      <c r="B46" s="7">
        <v>232.14</v>
      </c>
      <c r="C46" s="5">
        <f>IFERROR(((B46/B27)*100),"")</f>
        <v>0.14195597774763308</v>
      </c>
      <c r="D46" s="7">
        <v>146.44</v>
      </c>
      <c r="E46" s="5">
        <f>IFERROR(((D46/D27)*100),"")</f>
        <v>0.10472564833679381</v>
      </c>
      <c r="F46" s="7">
        <v>635.23</v>
      </c>
      <c r="G46" s="5">
        <f>IFERROR(((F46/F27)*100),"")</f>
        <v>0.38961057281518807</v>
      </c>
      <c r="H46" s="7">
        <v>156.75</v>
      </c>
      <c r="I46" s="5">
        <f>IFERROR(((H46/H27)*100),"")</f>
        <v>9.6267291801177296E-2</v>
      </c>
      <c r="J46" s="7">
        <v>332.07</v>
      </c>
      <c r="K46" s="5">
        <f>IFERROR(((J46/J27)*100),"")</f>
        <v>0.20576787039455974</v>
      </c>
      <c r="L46" s="7">
        <v>152.62</v>
      </c>
      <c r="M46" s="5">
        <f>IFERROR(((L46/L27)*100),"")</f>
        <v>0.10175035681294044</v>
      </c>
      <c r="N46" s="7">
        <v>152.63</v>
      </c>
      <c r="O46" s="5">
        <f>IFERROR(((N46/N27)*100),"")</f>
        <v>0.10745424675896575</v>
      </c>
      <c r="P46" s="7">
        <v>669.63</v>
      </c>
      <c r="Q46" s="5">
        <f>IFERROR(((P46/P27)*100),"")</f>
        <v>0.4338345746778165</v>
      </c>
      <c r="R46" s="7">
        <v>57.75</v>
      </c>
      <c r="S46" s="5">
        <f>IFERROR(((R46/R27)*100),"")</f>
        <v>4.349977414013375E-2</v>
      </c>
      <c r="T46" s="7">
        <v>188.28</v>
      </c>
      <c r="U46" s="5">
        <f>IFERROR(((T46/T27)*100),"")</f>
        <v>0.12954765383061431</v>
      </c>
      <c r="V46" s="21">
        <v>528.77</v>
      </c>
      <c r="W46" s="20">
        <f>IFERROR(((V46/V27)*100),"")</f>
        <v>0.33709107936146687</v>
      </c>
      <c r="X46" s="7">
        <f t="shared" si="2"/>
        <v>3252.3100000000004</v>
      </c>
      <c r="Y46" s="5">
        <f>IFERROR(((X46/X27)*100),"")</f>
        <v>0.1945209217663996</v>
      </c>
    </row>
    <row r="47" spans="1:25" outlineLevel="1" x14ac:dyDescent="0.2">
      <c r="A47" s="9" t="s">
        <v>42</v>
      </c>
      <c r="B47" s="10">
        <f>B42+B43+B44+B45+B46</f>
        <v>17921.8</v>
      </c>
      <c r="C47" s="11">
        <f>IFERROR(((B47/B27)*100),"")</f>
        <v>10.959363496155467</v>
      </c>
      <c r="D47" s="10">
        <f>D42+D43+D44+D45+D46</f>
        <v>15358.51</v>
      </c>
      <c r="E47" s="11">
        <f>IFERROR(((D47/D27)*100),"")</f>
        <v>10.983542182717365</v>
      </c>
      <c r="F47" s="10">
        <f>F42+F43+F44+F45+F46</f>
        <v>17832.97</v>
      </c>
      <c r="G47" s="11">
        <f>IFERROR(((F47/F27)*100),"")</f>
        <v>10.93763464681464</v>
      </c>
      <c r="H47" s="10">
        <f>H42+H43+H44+H45+H46</f>
        <v>18645.13</v>
      </c>
      <c r="I47" s="11">
        <f>IFERROR(((H47/H27)*100),"")</f>
        <v>11.450820863673906</v>
      </c>
      <c r="J47" s="10">
        <f>J42+J43+J44+J45+J46</f>
        <v>17931.349999999999</v>
      </c>
      <c r="K47" s="11">
        <f>IFERROR(((J47/J27)*100),"")</f>
        <v>11.111198550906401</v>
      </c>
      <c r="L47" s="10">
        <f>L42+L43+L44+L45+L46</f>
        <v>18529.28</v>
      </c>
      <c r="M47" s="11">
        <f>IFERROR(((L47/L27)*100),"")</f>
        <v>12.353301346395495</v>
      </c>
      <c r="N47" s="10">
        <f>N42+N43+N44+N45+N46</f>
        <v>17595.05</v>
      </c>
      <c r="O47" s="11">
        <f>IFERROR(((N47/N27)*100),"")</f>
        <v>12.387229538336763</v>
      </c>
      <c r="P47" s="10">
        <f>P42+P43+P44+P45+P46</f>
        <v>18408.13</v>
      </c>
      <c r="Q47" s="11">
        <f>IFERROR(((P47/P27)*100),"")</f>
        <v>11.926113300126866</v>
      </c>
      <c r="R47" s="10">
        <f>R42+R43+R44+R45+R46</f>
        <v>16156.05</v>
      </c>
      <c r="S47" s="11">
        <f>IFERROR(((R47/R27)*100),"")</f>
        <v>12.169429021588014</v>
      </c>
      <c r="T47" s="10">
        <f>T42+T43+T44+T45+T46</f>
        <v>15460.56</v>
      </c>
      <c r="U47" s="11">
        <f>IFERROR(((T47/T27)*100),"")</f>
        <v>10.637769677647348</v>
      </c>
      <c r="V47" s="22">
        <f>V42+V43+V44+V45+V46</f>
        <v>16554.900000000001</v>
      </c>
      <c r="W47" s="23">
        <f>IFERROR(((V47/V27)*100),"")</f>
        <v>10.55375514821406</v>
      </c>
      <c r="X47" s="12">
        <f t="shared" si="2"/>
        <v>190393.72999999998</v>
      </c>
      <c r="Y47" s="11">
        <f>IFERROR(((X47/X27)*100),"")</f>
        <v>11.387464250991757</v>
      </c>
    </row>
    <row r="48" spans="1:25" x14ac:dyDescent="0.2">
      <c r="A48" s="47" t="s">
        <v>43</v>
      </c>
      <c r="B48" s="48">
        <f>B34+B39+B40+B41+B47</f>
        <v>64675.31</v>
      </c>
      <c r="C48" s="49">
        <f>IFERROR(((B48/B27)*100),"")</f>
        <v>39.549611730771389</v>
      </c>
      <c r="D48" s="48">
        <f>D34+D39+D40+D41+D47</f>
        <v>57143.420000000006</v>
      </c>
      <c r="E48" s="49">
        <f>IFERROR(((D48/D27)*100),"")</f>
        <v>40.865758724950219</v>
      </c>
      <c r="F48" s="48">
        <f>F34+F39+F40+F41+F47</f>
        <v>58885.47</v>
      </c>
      <c r="G48" s="49">
        <f>IFERROR(((F48/F27)*100),"")</f>
        <v>36.116684818398966</v>
      </c>
      <c r="H48" s="48">
        <f>H34+H39+H40+H41+H47</f>
        <v>62752.229999999996</v>
      </c>
      <c r="I48" s="49">
        <f>IFERROR(((H48/H27)*100),"")</f>
        <v>38.538993534829928</v>
      </c>
      <c r="J48" s="48">
        <f>J34+J39+J40+J41+J47</f>
        <v>59203.299999999996</v>
      </c>
      <c r="K48" s="49">
        <f>IFERROR(((J48/J27)*100),"")</f>
        <v>36.685448734695207</v>
      </c>
      <c r="L48" s="48">
        <f>L34+L39+L40+L41+L47</f>
        <v>59465.72</v>
      </c>
      <c r="M48" s="49">
        <f>IFERROR(((L48/L27)*100),"")</f>
        <v>39.645251134441146</v>
      </c>
      <c r="N48" s="48">
        <f>N34+N39+N40+N41+N47</f>
        <v>60068.460000000006</v>
      </c>
      <c r="O48" s="49">
        <f>IFERROR(((N48/N27)*100),"")</f>
        <v>42.289268972489445</v>
      </c>
      <c r="P48" s="48">
        <f>P34+P39+P40+P41+P47</f>
        <v>57494.34</v>
      </c>
      <c r="Q48" s="49">
        <f>IFERROR(((P48/P27)*100),"")</f>
        <v>37.248977107181233</v>
      </c>
      <c r="R48" s="48">
        <f>R34+R39+R40+R41+R47</f>
        <v>52536.14</v>
      </c>
      <c r="S48" s="49">
        <f>IFERROR(((R48/R27)*100),"")</f>
        <v>39.572471414622449</v>
      </c>
      <c r="T48" s="48">
        <f>T34+T39+T40+T41+T47</f>
        <v>65586.87</v>
      </c>
      <c r="U48" s="49">
        <f>IFERROR(((T48/T27)*100),"")</f>
        <v>45.127603200517861</v>
      </c>
      <c r="V48" s="50">
        <f>V34+V39+V40+V41+V47</f>
        <v>56359.61</v>
      </c>
      <c r="W48" s="51">
        <f>IFERROR(((V48/V27)*100),"")</f>
        <v>35.929273157121855</v>
      </c>
      <c r="X48" s="52">
        <f t="shared" si="2"/>
        <v>654170.87</v>
      </c>
      <c r="Y48" s="49">
        <f>IFERROR(((X48/X27)*100),"")</f>
        <v>39.12601216523872</v>
      </c>
    </row>
    <row r="49" spans="1:25" x14ac:dyDescent="0.2">
      <c r="A49" s="47" t="s">
        <v>44</v>
      </c>
      <c r="B49" s="48">
        <f>B27-B48</f>
        <v>98854.25999999998</v>
      </c>
      <c r="C49" s="49">
        <f>IFERROR(((B49/B27)*100),"")</f>
        <v>60.450388269228618</v>
      </c>
      <c r="D49" s="48">
        <f>D27-D48</f>
        <v>82688.609999999986</v>
      </c>
      <c r="E49" s="49">
        <f>IFERROR(((D49/D27)*100),"")</f>
        <v>59.134241275049781</v>
      </c>
      <c r="F49" s="48">
        <f>F27-F48</f>
        <v>104156.81999999998</v>
      </c>
      <c r="G49" s="49">
        <f>IFERROR(((F49/F27)*100),"")</f>
        <v>63.883315181601041</v>
      </c>
      <c r="H49" s="48">
        <f>H27-H48</f>
        <v>100075.66000000002</v>
      </c>
      <c r="I49" s="49">
        <f>IFERROR(((H49/H27)*100),"")</f>
        <v>61.461006465170065</v>
      </c>
      <c r="J49" s="48">
        <f>J27-J48</f>
        <v>102177.58000000002</v>
      </c>
      <c r="K49" s="49">
        <f>IFERROR(((J49/J27)*100),"")</f>
        <v>63.3145512653048</v>
      </c>
      <c r="L49" s="48">
        <f>L27-L48</f>
        <v>90528.84</v>
      </c>
      <c r="M49" s="49">
        <f>IFERROR(((L49/L27)*100),"")</f>
        <v>60.354748865558861</v>
      </c>
      <c r="N49" s="48">
        <f>N27-N48</f>
        <v>81973.39</v>
      </c>
      <c r="O49" s="49">
        <f>IFERROR(((N49/N27)*100),"")</f>
        <v>57.710731027510555</v>
      </c>
      <c r="P49" s="48">
        <f>P27-P48</f>
        <v>96857.12</v>
      </c>
      <c r="Q49" s="49">
        <f>IFERROR(((P49/P27)*100),"")</f>
        <v>62.751022892818767</v>
      </c>
      <c r="R49" s="48">
        <f>R27-R48</f>
        <v>80223.17</v>
      </c>
      <c r="S49" s="49">
        <f>IFERROR(((R49/R27)*100),"")</f>
        <v>60.427528585377551</v>
      </c>
      <c r="T49" s="48">
        <f>T27-T48</f>
        <v>79749.609999999986</v>
      </c>
      <c r="U49" s="49">
        <f>IFERROR(((T49/T27)*100),"")</f>
        <v>54.872396799482139</v>
      </c>
      <c r="V49" s="50">
        <f>V27-V48</f>
        <v>100503.03999999999</v>
      </c>
      <c r="W49" s="51">
        <f>IFERROR(((V49/V27)*100),"")</f>
        <v>64.070726842878145</v>
      </c>
      <c r="X49" s="52">
        <f t="shared" si="2"/>
        <v>1017788.1000000001</v>
      </c>
      <c r="Y49" s="49">
        <f>IFERROR(((X49/X27)*100),"")</f>
        <v>60.873987834761287</v>
      </c>
    </row>
    <row r="50" spans="1:25" x14ac:dyDescent="0.2">
      <c r="A50" s="13"/>
      <c r="B50" s="16"/>
      <c r="C50" s="17"/>
      <c r="D50" s="16"/>
      <c r="E50" s="17"/>
      <c r="F50" s="16"/>
      <c r="G50" s="17"/>
      <c r="H50" s="16"/>
      <c r="I50" s="17"/>
      <c r="J50" s="16"/>
      <c r="K50" s="17"/>
      <c r="L50" s="16"/>
      <c r="M50" s="17"/>
      <c r="N50" s="16"/>
      <c r="O50" s="17"/>
      <c r="P50" s="16"/>
      <c r="Q50" s="17"/>
      <c r="R50" s="16"/>
      <c r="S50" s="17"/>
      <c r="T50" s="16"/>
      <c r="U50" s="17"/>
      <c r="V50" s="24"/>
      <c r="W50" s="25"/>
      <c r="X50" s="18"/>
      <c r="Y50" s="17"/>
    </row>
    <row r="51" spans="1:25" x14ac:dyDescent="0.2">
      <c r="A51" s="4" t="s">
        <v>45</v>
      </c>
      <c r="C51" s="5">
        <f>IFERROR(((B51/B27)*100),"")</f>
        <v>0</v>
      </c>
      <c r="E51" s="5">
        <f>IFERROR(((D51/D27)*100),"")</f>
        <v>0</v>
      </c>
      <c r="G51" s="5">
        <f>IFERROR(((F51/F27)*100),"")</f>
        <v>0</v>
      </c>
      <c r="I51" s="5">
        <f>IFERROR(((H51/H27)*100),"")</f>
        <v>0</v>
      </c>
      <c r="K51" s="5">
        <f>IFERROR(((J51/J27)*100),"")</f>
        <v>0</v>
      </c>
      <c r="M51" s="5">
        <f>IFERROR(((L51/L27)*100),"")</f>
        <v>0</v>
      </c>
      <c r="O51" s="5">
        <f>IFERROR(((N51/N27)*100),"")</f>
        <v>0</v>
      </c>
      <c r="Q51" s="5">
        <f>IFERROR(((P51/P27)*100),"")</f>
        <v>0</v>
      </c>
      <c r="S51" s="5">
        <f>IFERROR(((R51/R27)*100),"")</f>
        <v>0</v>
      </c>
      <c r="U51" s="5">
        <f>IFERROR(((T51/T27)*100),"")</f>
        <v>0</v>
      </c>
      <c r="W51" s="20">
        <f>IFERROR(((V51/V27)*100),"")</f>
        <v>0</v>
      </c>
    </row>
    <row r="52" spans="1:25" outlineLevel="1" x14ac:dyDescent="0.2">
      <c r="A52" s="6" t="s">
        <v>46</v>
      </c>
      <c r="C52" s="5">
        <f>IFERROR(((B52/B27)*100),"")</f>
        <v>0</v>
      </c>
      <c r="E52" s="5">
        <f>IFERROR(((D52/D27)*100),"")</f>
        <v>0</v>
      </c>
      <c r="G52" s="5">
        <f>IFERROR(((F52/F27)*100),"")</f>
        <v>0</v>
      </c>
      <c r="I52" s="5">
        <f>IFERROR(((H52/H27)*100),"")</f>
        <v>0</v>
      </c>
      <c r="K52" s="5">
        <f>IFERROR(((J52/J27)*100),"")</f>
        <v>0</v>
      </c>
      <c r="M52" s="5">
        <f>IFERROR(((L52/L27)*100),"")</f>
        <v>0</v>
      </c>
      <c r="O52" s="5">
        <f>IFERROR(((N52/N27)*100),"")</f>
        <v>0</v>
      </c>
      <c r="Q52" s="5">
        <f>IFERROR(((P52/P27)*100),"")</f>
        <v>0</v>
      </c>
      <c r="S52" s="5">
        <f>IFERROR(((R52/R27)*100),"")</f>
        <v>0</v>
      </c>
      <c r="U52" s="5">
        <f>IFERROR(((T52/T27)*100),"")</f>
        <v>0</v>
      </c>
      <c r="W52" s="20">
        <f>IFERROR(((V52/V27)*100),"")</f>
        <v>0</v>
      </c>
      <c r="Y52" s="5">
        <f>IFERROR(((X52/X27)*100),"")</f>
        <v>0</v>
      </c>
    </row>
    <row r="53" spans="1:25" outlineLevel="2" x14ac:dyDescent="0.2">
      <c r="A53" s="8" t="s">
        <v>47</v>
      </c>
      <c r="B53" s="7">
        <v>211.22</v>
      </c>
      <c r="C53" s="5">
        <f>IFERROR(((B53/B27)*100),"")</f>
        <v>0.12916318437087557</v>
      </c>
      <c r="D53" s="7">
        <v>1190.45</v>
      </c>
      <c r="E53" s="5">
        <f>IFERROR(((D53/D27)*100),"")</f>
        <v>0.85134285756990025</v>
      </c>
      <c r="F53" s="7">
        <v>304.83999999999997</v>
      </c>
      <c r="G53" s="5">
        <f>IFERROR(((F53/F27)*100),"")</f>
        <v>0.18696989596993516</v>
      </c>
      <c r="H53" s="7">
        <v>309.98</v>
      </c>
      <c r="I53" s="5">
        <f>IFERROR(((H53/H27)*100),"")</f>
        <v>0.19037279178646851</v>
      </c>
      <c r="J53" s="7">
        <v>570.64</v>
      </c>
      <c r="K53" s="5">
        <f>IFERROR(((J53/J27)*100),"")</f>
        <v>0.35359827012964606</v>
      </c>
      <c r="L53" s="7">
        <v>270.89999999999998</v>
      </c>
      <c r="M53" s="5">
        <f>IFERROR(((L53/L27)*100),"")</f>
        <v>0.18060654999754658</v>
      </c>
      <c r="N53" s="7">
        <v>306.08</v>
      </c>
      <c r="O53" s="5">
        <f>IFERROR(((N53/N27)*100),"")</f>
        <v>0.21548578816736053</v>
      </c>
      <c r="P53" s="7">
        <v>341.73</v>
      </c>
      <c r="Q53" s="5">
        <f>IFERROR(((P53/P27)*100),"")</f>
        <v>0.22139732270754034</v>
      </c>
      <c r="R53" s="7">
        <v>286.52</v>
      </c>
      <c r="S53" s="5">
        <f>IFERROR(((R53/R27)*100),"")</f>
        <v>0.21581913916244366</v>
      </c>
      <c r="T53" s="7">
        <v>290.42</v>
      </c>
      <c r="U53" s="5">
        <f>IFERROR(((T53/T27)*100),"")</f>
        <v>0.19982594872257814</v>
      </c>
      <c r="V53" s="21">
        <v>290.42</v>
      </c>
      <c r="W53" s="20">
        <f>IFERROR(((V53/V27)*100),"")</f>
        <v>0.18514286224286025</v>
      </c>
      <c r="X53" s="7">
        <f>B53+D53+F53+H53+J53+L53+N53+P53+R53+T53+V53</f>
        <v>4373.2</v>
      </c>
      <c r="Y53" s="5">
        <f>IFERROR(((X53/X27)*100),"")</f>
        <v>0.2615614425035801</v>
      </c>
    </row>
    <row r="54" spans="1:25" outlineLevel="2" x14ac:dyDescent="0.2">
      <c r="A54" s="8" t="s">
        <v>48</v>
      </c>
      <c r="C54" s="5">
        <f>IFERROR(((B54/B27)*100),"")</f>
        <v>0</v>
      </c>
      <c r="E54" s="5">
        <f>IFERROR(((D54/D27)*100),"")</f>
        <v>0</v>
      </c>
      <c r="G54" s="5">
        <f>IFERROR(((F54/F27)*100),"")</f>
        <v>0</v>
      </c>
      <c r="I54" s="5">
        <f>IFERROR(((H54/H27)*100),"")</f>
        <v>0</v>
      </c>
      <c r="K54" s="5">
        <f>IFERROR(((J54/J27)*100),"")</f>
        <v>0</v>
      </c>
      <c r="M54" s="5">
        <f>IFERROR(((L54/L27)*100),"")</f>
        <v>0</v>
      </c>
      <c r="O54" s="5">
        <f>IFERROR(((N54/N27)*100),"")</f>
        <v>0</v>
      </c>
      <c r="Q54" s="5">
        <f>IFERROR(((P54/P27)*100),"")</f>
        <v>0</v>
      </c>
      <c r="S54" s="5">
        <f>IFERROR(((R54/R27)*100),"")</f>
        <v>0</v>
      </c>
      <c r="U54" s="5">
        <f>IFERROR(((T54/T27)*100),"")</f>
        <v>0</v>
      </c>
      <c r="W54" s="20">
        <f>IFERROR(((V54/V27)*100),"")</f>
        <v>0</v>
      </c>
      <c r="Y54" s="5">
        <f>IFERROR(((X54/X27)*100),"")</f>
        <v>0</v>
      </c>
    </row>
    <row r="55" spans="1:25" outlineLevel="3" x14ac:dyDescent="0.2">
      <c r="A55" s="14" t="s">
        <v>49</v>
      </c>
      <c r="B55" s="7">
        <v>259.49</v>
      </c>
      <c r="C55" s="5">
        <f>IFERROR(((B55/B27)*100),"")</f>
        <v>0.15868078170816449</v>
      </c>
      <c r="D55" s="7">
        <v>112.31</v>
      </c>
      <c r="E55" s="5">
        <f>IFERROR(((D55/D27)*100),"")</f>
        <v>8.0317792711727065E-2</v>
      </c>
      <c r="F55" s="7">
        <v>102.74</v>
      </c>
      <c r="G55" s="5">
        <f>IFERROR(((F55/F27)*100),"")</f>
        <v>6.3014325915073943E-2</v>
      </c>
      <c r="H55" s="7">
        <v>105.36</v>
      </c>
      <c r="I55" s="5">
        <f>IFERROR(((H55/H27)*100),"")</f>
        <v>6.470635958004492E-2</v>
      </c>
      <c r="J55" s="7">
        <v>63.75</v>
      </c>
      <c r="K55" s="5">
        <f>IFERROR(((J55/J27)*100),"")</f>
        <v>3.9502820904186421E-2</v>
      </c>
      <c r="L55" s="7">
        <v>34.61</v>
      </c>
      <c r="M55" s="5">
        <f>IFERROR(((L55/L27)*100),"")</f>
        <v>2.3074170156571011E-2</v>
      </c>
      <c r="N55" s="7">
        <v>46.92</v>
      </c>
      <c r="O55" s="5">
        <f>IFERROR(((N55/N27)*100),"")</f>
        <v>3.3032518233182685E-2</v>
      </c>
      <c r="P55" s="7">
        <v>38.14</v>
      </c>
      <c r="Q55" s="5">
        <f>IFERROR(((P55/P27)*100),"")</f>
        <v>2.4709840775072687E-2</v>
      </c>
      <c r="R55" s="7">
        <v>44.82</v>
      </c>
      <c r="S55" s="5">
        <f>IFERROR(((R55/R27)*100),"")</f>
        <v>3.3760344189797308E-2</v>
      </c>
      <c r="T55" s="7">
        <v>46.95</v>
      </c>
      <c r="U55" s="5">
        <f>IFERROR(((T55/T27)*100),"")</f>
        <v>3.2304346438003728E-2</v>
      </c>
      <c r="V55" s="21">
        <v>1.42</v>
      </c>
      <c r="W55" s="20">
        <f>IFERROR(((V55/V27)*100),"")</f>
        <v>9.0525054880814522E-4</v>
      </c>
      <c r="X55" s="7">
        <f>B55+D55+F55+H55+J55+L55+N55+P55+R55+T55+V55</f>
        <v>856.51</v>
      </c>
      <c r="Y55" s="5">
        <f>IFERROR(((X55/X27)*100),"")</f>
        <v>5.1227931747631336E-2</v>
      </c>
    </row>
    <row r="56" spans="1:25" outlineLevel="3" x14ac:dyDescent="0.2">
      <c r="A56" s="14" t="s">
        <v>50</v>
      </c>
      <c r="B56" s="7">
        <v>3999.94</v>
      </c>
      <c r="C56" s="5">
        <f>IFERROR(((B56/B27)*100),"")</f>
        <v>2.4460041080032195</v>
      </c>
      <c r="D56" s="7">
        <v>3071.81</v>
      </c>
      <c r="E56" s="5">
        <f>IFERROR(((D56/D27)*100),"")</f>
        <v>2.1967856720666932</v>
      </c>
      <c r="F56" s="7">
        <v>3753.47</v>
      </c>
      <c r="G56" s="5">
        <f>IFERROR(((F56/F27)*100),"")</f>
        <v>2.3021450446997527</v>
      </c>
      <c r="H56" s="7">
        <v>3727.23</v>
      </c>
      <c r="I56" s="5">
        <f>IFERROR(((H56/H27)*100),"")</f>
        <v>2.2890611675923576</v>
      </c>
      <c r="J56" s="7">
        <v>3502.1</v>
      </c>
      <c r="K56" s="5">
        <f>IFERROR(((J56/J27)*100),"")</f>
        <v>2.1700835935459022</v>
      </c>
      <c r="L56" s="7">
        <v>3292.62</v>
      </c>
      <c r="M56" s="5">
        <f>IFERROR(((L56/L27)*100),"")</f>
        <v>2.1951596111218965</v>
      </c>
      <c r="N56" s="7">
        <v>3247.18</v>
      </c>
      <c r="O56" s="5">
        <f>IFERROR(((N56/N27)*100),"")</f>
        <v>2.2860727313816316</v>
      </c>
      <c r="P56" s="7">
        <v>3174.67</v>
      </c>
      <c r="Q56" s="5">
        <f>IFERROR(((P56/P27)*100),"")</f>
        <v>2.0567800265705296</v>
      </c>
      <c r="R56" s="7">
        <v>3042.58</v>
      </c>
      <c r="S56" s="5">
        <f>IFERROR(((R56/R27)*100),"")</f>
        <v>2.2918016069833445</v>
      </c>
      <c r="T56" s="7">
        <v>3528.52</v>
      </c>
      <c r="U56" s="5">
        <f>IFERROR(((T56/T27)*100),"")</f>
        <v>2.4278281681240665</v>
      </c>
      <c r="V56" s="21">
        <v>3484.39</v>
      </c>
      <c r="W56" s="20">
        <f>IFERROR(((V56/V27)*100),"")</f>
        <v>2.2212999716631079</v>
      </c>
      <c r="X56" s="7">
        <f>B56+D56+F56+H56+J56+L56+N56+P56+R56+T56+V56</f>
        <v>37824.509999999995</v>
      </c>
      <c r="Y56" s="5">
        <f>IFERROR(((X56/X27)*100),"")</f>
        <v>2.2622869746618242</v>
      </c>
    </row>
    <row r="57" spans="1:25" outlineLevel="3" x14ac:dyDescent="0.2">
      <c r="A57" s="14" t="s">
        <v>51</v>
      </c>
      <c r="B57" s="7">
        <v>1359.46</v>
      </c>
      <c r="C57" s="5">
        <f>IFERROR(((B57/B27)*100),"")</f>
        <v>0.83132365602135461</v>
      </c>
      <c r="D57" s="7">
        <v>981.25</v>
      </c>
      <c r="E57" s="5">
        <f>IFERROR(((D57/D27)*100),"")</f>
        <v>0.70173478851733762</v>
      </c>
      <c r="F57" s="7">
        <v>3148.87</v>
      </c>
      <c r="G57" s="5">
        <f>IFERROR(((F57/F27)*100),"")</f>
        <v>1.9313210088008455</v>
      </c>
      <c r="H57" s="7">
        <v>1032.78</v>
      </c>
      <c r="I57" s="5">
        <f>IFERROR(((H57/H27)*100),"")</f>
        <v>0.63427708852580467</v>
      </c>
      <c r="J57" s="7">
        <v>834.05</v>
      </c>
      <c r="K57" s="5">
        <f>IFERROR(((J57/J27)*100),"")</f>
        <v>0.51682082784528127</v>
      </c>
      <c r="L57" s="7">
        <v>-845.49</v>
      </c>
      <c r="M57" s="5">
        <f>IFERROR(((L57/L27)*100),"")</f>
        <v>-0.56368044281072593</v>
      </c>
      <c r="N57" s="7">
        <v>744.46</v>
      </c>
      <c r="O57" s="5">
        <f>IFERROR(((N57/N27)*100),"")</f>
        <v>0.52411313989503805</v>
      </c>
      <c r="P57" s="7">
        <v>218.38</v>
      </c>
      <c r="Q57" s="5">
        <f>IFERROR(((P57/P27)*100),"")</f>
        <v>0.141482302791305</v>
      </c>
      <c r="R57" s="7">
        <v>251.72</v>
      </c>
      <c r="S57" s="5">
        <f>IFERROR(((R57/R27)*100),"")</f>
        <v>0.18960628825202541</v>
      </c>
      <c r="T57" s="7">
        <v>350.06</v>
      </c>
      <c r="U57" s="5">
        <f>IFERROR(((T57/T27)*100),"")</f>
        <v>0.24086175748855351</v>
      </c>
      <c r="V57" s="21">
        <v>224.27</v>
      </c>
      <c r="W57" s="20">
        <f>IFERROR(((V57/V27)*100),"")</f>
        <v>0.14297221167690335</v>
      </c>
      <c r="X57" s="7">
        <f>B57+D57+F57+H57+J57+L57+N57+P57+R57+T57+V57</f>
        <v>8299.8100000000013</v>
      </c>
      <c r="Y57" s="5">
        <f>IFERROR(((X57/X27)*100),"")</f>
        <v>0.49641230131382957</v>
      </c>
    </row>
    <row r="58" spans="1:25" outlineLevel="2" x14ac:dyDescent="0.2">
      <c r="A58" s="15" t="s">
        <v>52</v>
      </c>
      <c r="B58" s="10">
        <f>B54+B55+B56+B57</f>
        <v>5618.89</v>
      </c>
      <c r="C58" s="11">
        <f>IFERROR(((B58/B27)*100),"")</f>
        <v>3.4360085457327392</v>
      </c>
      <c r="D58" s="10">
        <f>D54+D55+D56+D57</f>
        <v>4165.37</v>
      </c>
      <c r="E58" s="11">
        <f>IFERROR(((D58/D27)*100),"")</f>
        <v>2.9788382532957578</v>
      </c>
      <c r="F58" s="10">
        <f>F54+F55+F56+F57</f>
        <v>7005.08</v>
      </c>
      <c r="G58" s="11">
        <f>IFERROR(((F58/F27)*100),"")</f>
        <v>4.2964803794156721</v>
      </c>
      <c r="H58" s="10">
        <f>H54+H55+H56+H57</f>
        <v>4865.37</v>
      </c>
      <c r="I58" s="11">
        <f>IFERROR(((H58/H27)*100),"")</f>
        <v>2.988044615698207</v>
      </c>
      <c r="J58" s="10">
        <f>J54+J55+J56+J57</f>
        <v>4399.8999999999996</v>
      </c>
      <c r="K58" s="11">
        <f>IFERROR(((J58/J27)*100),"")</f>
        <v>2.7264072422953696</v>
      </c>
      <c r="L58" s="10">
        <f>L54+L55+L56+L57</f>
        <v>2481.7399999999998</v>
      </c>
      <c r="M58" s="11">
        <f>IFERROR(((L58/L27)*100),"")</f>
        <v>1.6545533384677416</v>
      </c>
      <c r="N58" s="10">
        <f>N54+N55+N56+N57</f>
        <v>4038.56</v>
      </c>
      <c r="O58" s="11">
        <f>IFERROR(((N58/N27)*100),"")</f>
        <v>2.8432183895098517</v>
      </c>
      <c r="P58" s="10">
        <f>P54+P55+P56+P57</f>
        <v>3431.19</v>
      </c>
      <c r="Q58" s="11">
        <f>IFERROR(((P58/P27)*100),"")</f>
        <v>2.2229721701369072</v>
      </c>
      <c r="R58" s="10">
        <f>R54+R55+R56+R57</f>
        <v>3339.12</v>
      </c>
      <c r="S58" s="11">
        <f>IFERROR(((R58/R27)*100),"")</f>
        <v>2.5151682394251673</v>
      </c>
      <c r="T58" s="10">
        <f>T54+T55+T56+T57</f>
        <v>3925.5299999999997</v>
      </c>
      <c r="U58" s="11">
        <f>IFERROR(((T58/T27)*100),"")</f>
        <v>2.7009942720506235</v>
      </c>
      <c r="V58" s="22">
        <f>V54+V55+V56+V57</f>
        <v>3710.08</v>
      </c>
      <c r="W58" s="23">
        <f>IFERROR(((V58/V27)*100),"")</f>
        <v>2.3651774338888192</v>
      </c>
      <c r="X58" s="12">
        <f>B58+D58+F58+H58+J58+L58+N58+P58+R58+T58+V58</f>
        <v>46980.83</v>
      </c>
      <c r="Y58" s="11">
        <f>IFERROR(((X58/X27)*100),"")</f>
        <v>2.8099272077232853</v>
      </c>
    </row>
    <row r="59" spans="1:25" outlineLevel="2" x14ac:dyDescent="0.2">
      <c r="A59" s="8" t="s">
        <v>53</v>
      </c>
      <c r="C59" s="5">
        <f>IFERROR(((B59/B27)*100),"")</f>
        <v>0</v>
      </c>
      <c r="E59" s="5">
        <f>IFERROR(((D59/D27)*100),"")</f>
        <v>0</v>
      </c>
      <c r="G59" s="5">
        <f>IFERROR(((F59/F27)*100),"")</f>
        <v>0</v>
      </c>
      <c r="I59" s="5">
        <f>IFERROR(((H59/H27)*100),"")</f>
        <v>0</v>
      </c>
      <c r="K59" s="5">
        <f>IFERROR(((J59/J27)*100),"")</f>
        <v>0</v>
      </c>
      <c r="M59" s="5">
        <f>IFERROR(((L59/L27)*100),"")</f>
        <v>0</v>
      </c>
      <c r="O59" s="5">
        <f>IFERROR(((N59/N27)*100),"")</f>
        <v>0</v>
      </c>
      <c r="Q59" s="5">
        <f>IFERROR(((P59/P27)*100),"")</f>
        <v>0</v>
      </c>
      <c r="S59" s="5">
        <f>IFERROR(((R59/R27)*100),"")</f>
        <v>0</v>
      </c>
      <c r="U59" s="5">
        <f>IFERROR(((T59/T27)*100),"")</f>
        <v>0</v>
      </c>
      <c r="W59" s="20">
        <f>IFERROR(((V59/V27)*100),"")</f>
        <v>0</v>
      </c>
      <c r="Y59" s="5">
        <f>IFERROR(((X59/X27)*100),"")</f>
        <v>0</v>
      </c>
    </row>
    <row r="60" spans="1:25" outlineLevel="3" x14ac:dyDescent="0.2">
      <c r="A60" s="14" t="s">
        <v>54</v>
      </c>
      <c r="C60" s="5">
        <f>IFERROR(((B60/B27)*100),"")</f>
        <v>0</v>
      </c>
      <c r="E60" s="5">
        <f>IFERROR(((D60/D27)*100),"")</f>
        <v>0</v>
      </c>
      <c r="F60" s="7">
        <v>2868.14</v>
      </c>
      <c r="G60" s="5">
        <f>IFERROR(((F60/F27)*100),"")</f>
        <v>1.7591386872694195</v>
      </c>
      <c r="H60" s="7">
        <v>2967.04</v>
      </c>
      <c r="I60" s="5">
        <f>IFERROR(((H60/H27)*100),"")</f>
        <v>1.8221939742632542</v>
      </c>
      <c r="J60" s="7">
        <v>3065.95</v>
      </c>
      <c r="K60" s="5">
        <f>IFERROR(((J60/J27)*100),"")</f>
        <v>1.8998223333520055</v>
      </c>
      <c r="L60" s="7">
        <v>2967.04</v>
      </c>
      <c r="M60" s="5">
        <f>IFERROR(((L60/L27)*100),"")</f>
        <v>1.9780984057021802</v>
      </c>
      <c r="N60" s="7">
        <v>2274.7399999999998</v>
      </c>
      <c r="O60" s="5">
        <f>IFERROR(((N60/N27)*100),"")</f>
        <v>1.6014575985880213</v>
      </c>
      <c r="P60" s="7">
        <v>1703.32</v>
      </c>
      <c r="Q60" s="5">
        <f>IFERROR(((P60/P27)*100),"")</f>
        <v>1.1035334554010698</v>
      </c>
      <c r="R60" s="7">
        <v>1648.37</v>
      </c>
      <c r="S60" s="5">
        <f>IFERROR(((R60/R27)*100),"")</f>
        <v>1.241622903885234</v>
      </c>
      <c r="T60" s="7">
        <v>1703.32</v>
      </c>
      <c r="U60" s="5">
        <f>IFERROR(((T60/T27)*100),"")</f>
        <v>1.1719837992498512</v>
      </c>
      <c r="V60" s="21">
        <v>1648.37</v>
      </c>
      <c r="W60" s="20">
        <f>IFERROR(((V60/V27)*100),"")</f>
        <v>1.0508365120696355</v>
      </c>
      <c r="X60" s="7">
        <f>B60+D60+F60+H60+J60+L60+N60+P60+R60+T60+V60</f>
        <v>20846.29</v>
      </c>
      <c r="Y60" s="5">
        <f>IFERROR(((X60/X27)*100),"")</f>
        <v>1.2468182756901027</v>
      </c>
    </row>
    <row r="61" spans="1:25" outlineLevel="3" x14ac:dyDescent="0.2">
      <c r="A61" s="14" t="s">
        <v>55</v>
      </c>
      <c r="B61" s="7">
        <v>7984.23</v>
      </c>
      <c r="C61" s="5">
        <f>IFERROR(((B61/B27)*100),"")</f>
        <v>4.8824380813818564</v>
      </c>
      <c r="D61" s="7">
        <v>7211.56</v>
      </c>
      <c r="E61" s="5">
        <f>IFERROR(((D61/D27)*100),"")</f>
        <v>5.1573019429096467</v>
      </c>
      <c r="F61" s="7">
        <v>7819.39</v>
      </c>
      <c r="G61" s="5">
        <f>IFERROR(((F61/F27)*100),"")</f>
        <v>4.7959274860528529</v>
      </c>
      <c r="H61" s="7">
        <v>2781.6</v>
      </c>
      <c r="I61" s="5">
        <f>IFERROR(((H61/H27)*100),"")</f>
        <v>1.7083068508718009</v>
      </c>
      <c r="J61" s="7">
        <v>2874.32</v>
      </c>
      <c r="K61" s="5">
        <f>IFERROR(((J61/J27)*100),"")</f>
        <v>1.7810784028442526</v>
      </c>
      <c r="L61" s="7">
        <v>2781.6</v>
      </c>
      <c r="M61" s="5">
        <f>IFERROR(((L61/L27)*100),"")</f>
        <v>1.8544672553457937</v>
      </c>
      <c r="N61" s="7">
        <v>2874.32</v>
      </c>
      <c r="O61" s="5">
        <f>IFERROR(((N61/N27)*100),"")</f>
        <v>2.0235726301790633</v>
      </c>
      <c r="P61" s="7">
        <v>2874.32</v>
      </c>
      <c r="Q61" s="5">
        <f>IFERROR(((P61/P27)*100),"")</f>
        <v>1.862191650147009</v>
      </c>
      <c r="R61" s="7">
        <v>4883.25</v>
      </c>
      <c r="S61" s="5">
        <f>IFERROR(((R61/R27)*100),"")</f>
        <v>3.6782731094339072</v>
      </c>
      <c r="T61" s="7">
        <v>10113.36</v>
      </c>
      <c r="U61" s="5">
        <f>IFERROR(((T61/T27)*100),"")</f>
        <v>6.958583282050042</v>
      </c>
      <c r="V61" s="21">
        <v>9787.11</v>
      </c>
      <c r="W61" s="20">
        <f>IFERROR(((V61/V27)*100),"")</f>
        <v>6.239286407567386</v>
      </c>
      <c r="X61" s="7">
        <f>B61+D61+F61+H61+J61+L61+N61+P61+R61+T61+V61</f>
        <v>61985.06</v>
      </c>
      <c r="Y61" s="5">
        <f>IFERROR(((X61/X27)*100),"")</f>
        <v>3.7073314065835001</v>
      </c>
    </row>
    <row r="62" spans="1:25" outlineLevel="2" x14ac:dyDescent="0.2">
      <c r="A62" s="15" t="s">
        <v>56</v>
      </c>
      <c r="B62" s="10">
        <f>B59+B60+B61</f>
        <v>7984.23</v>
      </c>
      <c r="C62" s="11">
        <f>IFERROR(((B62/B27)*100),"")</f>
        <v>4.8824380813818564</v>
      </c>
      <c r="D62" s="10">
        <f>D59+D60+D61</f>
        <v>7211.56</v>
      </c>
      <c r="E62" s="11">
        <f>IFERROR(((D62/D27)*100),"")</f>
        <v>5.1573019429096467</v>
      </c>
      <c r="F62" s="10">
        <f>F59+F60+F61</f>
        <v>10687.53</v>
      </c>
      <c r="G62" s="11">
        <f>IFERROR(((F62/F27)*100),"")</f>
        <v>6.555066173322273</v>
      </c>
      <c r="H62" s="10">
        <f>H59+H60+H61</f>
        <v>5748.6399999999994</v>
      </c>
      <c r="I62" s="11">
        <f>IFERROR(((H62/H27)*100),"")</f>
        <v>3.5305008251350545</v>
      </c>
      <c r="J62" s="10">
        <f>J59+J60+J61</f>
        <v>5940.27</v>
      </c>
      <c r="K62" s="11">
        <f>IFERROR(((J62/J27)*100),"")</f>
        <v>3.6809007361962585</v>
      </c>
      <c r="L62" s="10">
        <f>L59+L60+L61</f>
        <v>5748.6399999999994</v>
      </c>
      <c r="M62" s="11">
        <f>IFERROR(((L62/L27)*100),"")</f>
        <v>3.8325656610479735</v>
      </c>
      <c r="N62" s="10">
        <f>N59+N60+N61</f>
        <v>5149.0599999999995</v>
      </c>
      <c r="O62" s="11">
        <f>IFERROR(((N62/N27)*100),"")</f>
        <v>3.6250302287670841</v>
      </c>
      <c r="P62" s="10">
        <f>P59+P60+P61</f>
        <v>4577.6400000000003</v>
      </c>
      <c r="Q62" s="11">
        <f>IFERROR(((P62/P27)*100),"")</f>
        <v>2.9657251055480791</v>
      </c>
      <c r="R62" s="10">
        <f>R59+R60+R61</f>
        <v>6531.62</v>
      </c>
      <c r="S62" s="11">
        <f>IFERROR(((R62/R27)*100),"")</f>
        <v>4.9198960133191409</v>
      </c>
      <c r="T62" s="10">
        <f>T59+T60+T61</f>
        <v>11816.68</v>
      </c>
      <c r="U62" s="11">
        <f>IFERROR(((T62/T27)*100),"")</f>
        <v>8.1305670812998923</v>
      </c>
      <c r="V62" s="22">
        <f>V59+V60+V61</f>
        <v>11435.48</v>
      </c>
      <c r="W62" s="23">
        <f>IFERROR(((V62/V27)*100),"")</f>
        <v>7.2901229196370192</v>
      </c>
      <c r="X62" s="12">
        <f>B62+D62+F62+H62+J62+L62+N62+P62+R62+T62+V62</f>
        <v>82831.349999999991</v>
      </c>
      <c r="Y62" s="11">
        <f>IFERROR(((X62/X27)*100),"")</f>
        <v>4.9541496822736022</v>
      </c>
    </row>
    <row r="63" spans="1:25" outlineLevel="1" x14ac:dyDescent="0.2">
      <c r="A63" s="53" t="s">
        <v>57</v>
      </c>
      <c r="B63" s="48">
        <f>B52+B53+B58+B62</f>
        <v>13814.34</v>
      </c>
      <c r="C63" s="49">
        <f>IFERROR(((B63/B27)*100),"")</f>
        <v>8.4476098114854707</v>
      </c>
      <c r="D63" s="48">
        <f>D52+D53+D58+D62</f>
        <v>12567.380000000001</v>
      </c>
      <c r="E63" s="49">
        <f>IFERROR(((D63/D27)*100),"")</f>
        <v>8.9874830537753052</v>
      </c>
      <c r="F63" s="48">
        <f>F52+F53+F58+F62</f>
        <v>17997.45</v>
      </c>
      <c r="G63" s="49">
        <f>IFERROR(((F63/F27)*100),"")</f>
        <v>11.038516448707881</v>
      </c>
      <c r="H63" s="48">
        <f>H52+H53+H58+H62</f>
        <v>10923.99</v>
      </c>
      <c r="I63" s="49">
        <f>IFERROR(((H63/H27)*100),"")</f>
        <v>6.7089182326197303</v>
      </c>
      <c r="J63" s="48">
        <f>J52+J53+J58+J62</f>
        <v>10910.810000000001</v>
      </c>
      <c r="K63" s="49">
        <f>IFERROR(((J63/J27)*100),"")</f>
        <v>6.760906248621275</v>
      </c>
      <c r="L63" s="48">
        <f>L52+L53+L58+L62</f>
        <v>8501.2799999999988</v>
      </c>
      <c r="M63" s="49">
        <f>IFERROR(((L63/L27)*100),"")</f>
        <v>5.6677255495132615</v>
      </c>
      <c r="N63" s="48">
        <f>N52+N53+N58+N62</f>
        <v>9493.7000000000007</v>
      </c>
      <c r="O63" s="49">
        <f>IFERROR(((N63/N27)*100),"")</f>
        <v>6.6837344064442989</v>
      </c>
      <c r="P63" s="48">
        <f>P52+P53+P58+P62</f>
        <v>8350.5600000000013</v>
      </c>
      <c r="Q63" s="49">
        <f>IFERROR(((P63/P27)*100),"")</f>
        <v>5.4100945983925275</v>
      </c>
      <c r="R63" s="48">
        <f>R52+R53+R58+R62</f>
        <v>10157.26</v>
      </c>
      <c r="S63" s="49">
        <f>IFERROR(((R63/R27)*100),"")</f>
        <v>7.6508833919067527</v>
      </c>
      <c r="T63" s="48">
        <f>T52+T53+T58+T62</f>
        <v>16032.630000000001</v>
      </c>
      <c r="U63" s="49">
        <f>IFERROR(((T63/T27)*100),"")</f>
        <v>11.031387302073096</v>
      </c>
      <c r="V63" s="50">
        <f>V52+V53+V58+V62</f>
        <v>15435.98</v>
      </c>
      <c r="W63" s="51">
        <f>IFERROR(((V63/V27)*100),"")</f>
        <v>9.8404432157686994</v>
      </c>
      <c r="X63" s="52">
        <f>B63+D63+F63+H63+J63+L63+N63+P63+R63+T63+V63</f>
        <v>134185.38</v>
      </c>
      <c r="Y63" s="49">
        <f>IFERROR(((X63/X27)*100),"")</f>
        <v>8.0256383325004688</v>
      </c>
    </row>
    <row r="64" spans="1:25" s="38" customFormat="1" outlineLevel="1" x14ac:dyDescent="0.2">
      <c r="A64" s="32"/>
      <c r="B64" s="33"/>
      <c r="C64" s="34"/>
      <c r="D64" s="33"/>
      <c r="E64" s="34"/>
      <c r="F64" s="33"/>
      <c r="G64" s="34"/>
      <c r="H64" s="33"/>
      <c r="I64" s="34"/>
      <c r="J64" s="33"/>
      <c r="K64" s="34"/>
      <c r="L64" s="33"/>
      <c r="M64" s="34"/>
      <c r="N64" s="33"/>
      <c r="O64" s="34"/>
      <c r="P64" s="33"/>
      <c r="Q64" s="34"/>
      <c r="R64" s="33"/>
      <c r="S64" s="34"/>
      <c r="T64" s="33"/>
      <c r="U64" s="34"/>
      <c r="V64" s="35"/>
      <c r="W64" s="36"/>
      <c r="X64" s="37"/>
      <c r="Y64" s="34"/>
    </row>
    <row r="65" spans="1:25" outlineLevel="1" x14ac:dyDescent="0.2">
      <c r="A65" s="6" t="s">
        <v>58</v>
      </c>
      <c r="C65" s="5">
        <f>IFERROR(((B65/B27)*100),"")</f>
        <v>0</v>
      </c>
      <c r="E65" s="5">
        <f>IFERROR(((D65/D27)*100),"")</f>
        <v>0</v>
      </c>
      <c r="G65" s="5">
        <f>IFERROR(((F65/F27)*100),"")</f>
        <v>0</v>
      </c>
      <c r="I65" s="5">
        <f>IFERROR(((H65/H27)*100),"")</f>
        <v>0</v>
      </c>
      <c r="K65" s="5">
        <f>IFERROR(((J65/J27)*100),"")</f>
        <v>0</v>
      </c>
      <c r="M65" s="5">
        <f>IFERROR(((L65/L27)*100),"")</f>
        <v>0</v>
      </c>
      <c r="O65" s="5">
        <f>IFERROR(((N65/N27)*100),"")</f>
        <v>0</v>
      </c>
      <c r="Q65" s="5">
        <f>IFERROR(((P65/P27)*100),"")</f>
        <v>0</v>
      </c>
      <c r="S65" s="5">
        <f>IFERROR(((R65/R27)*100),"")</f>
        <v>0</v>
      </c>
      <c r="U65" s="5">
        <f>IFERROR(((T65/T27)*100),"")</f>
        <v>0</v>
      </c>
      <c r="W65" s="20">
        <f>IFERROR(((V65/V27)*100),"")</f>
        <v>0</v>
      </c>
      <c r="Y65" s="5">
        <f>IFERROR(((X65/X27)*100),"")</f>
        <v>0</v>
      </c>
    </row>
    <row r="66" spans="1:25" outlineLevel="2" x14ac:dyDescent="0.2">
      <c r="A66" s="8" t="s">
        <v>59</v>
      </c>
      <c r="B66" s="7">
        <v>8332.86</v>
      </c>
      <c r="C66" s="5">
        <f>IFERROR(((B66/B27)*100),"")</f>
        <v>5.095628882287162</v>
      </c>
      <c r="D66" s="7">
        <v>7323.55</v>
      </c>
      <c r="E66" s="5">
        <f>IFERROR(((D66/D27)*100),"")</f>
        <v>5.2373908896266474</v>
      </c>
      <c r="F66" s="7">
        <v>8324.24</v>
      </c>
      <c r="G66" s="5">
        <f>IFERROR(((F66/F27)*100),"")</f>
        <v>5.1055710760686699</v>
      </c>
      <c r="H66" s="7">
        <v>8152.03</v>
      </c>
      <c r="I66" s="5">
        <f>IFERROR(((H66/H27)*100),"")</f>
        <v>5.0065317434255272</v>
      </c>
      <c r="J66" s="7">
        <v>8059.08</v>
      </c>
      <c r="K66" s="5">
        <f>IFERROR(((J66/J27)*100),"")</f>
        <v>4.9938257865491869</v>
      </c>
      <c r="L66" s="7">
        <v>7623.11</v>
      </c>
      <c r="M66" s="5">
        <f>IFERROR(((L66/L27)*100),"")</f>
        <v>5.0822576498774357</v>
      </c>
      <c r="N66" s="7">
        <v>7121.55</v>
      </c>
      <c r="O66" s="5">
        <f>IFERROR(((N66/N27)*100),"")</f>
        <v>5.013698427611299</v>
      </c>
      <c r="P66" s="7">
        <v>7718.35</v>
      </c>
      <c r="Q66" s="5">
        <f>IFERROR(((P66/P27)*100),"")</f>
        <v>5.0005033965989059</v>
      </c>
      <c r="R66" s="7">
        <v>6652.09</v>
      </c>
      <c r="S66" s="5">
        <f>IFERROR(((R66/R27)*100),"")</f>
        <v>5.0106391785254081</v>
      </c>
      <c r="T66" s="7">
        <v>7333.12</v>
      </c>
      <c r="U66" s="5">
        <f>IFERROR(((T66/T27)*100),"")</f>
        <v>5.0456155261225542</v>
      </c>
      <c r="V66" s="21">
        <v>7843.13</v>
      </c>
      <c r="W66" s="20">
        <f>IFERROR(((V66/V27)*100),"")</f>
        <v>4.9999984062490341</v>
      </c>
      <c r="X66" s="7">
        <f>B66+D66+F66+H66+J66+L66+N66+P66+R66+T66+V66</f>
        <v>84483.11</v>
      </c>
      <c r="Y66" s="5">
        <f>IFERROR(((X66/X27)*100),"")</f>
        <v>5.0529415802589943</v>
      </c>
    </row>
    <row r="67" spans="1:25" outlineLevel="2" x14ac:dyDescent="0.2">
      <c r="A67" s="8" t="s">
        <v>60</v>
      </c>
      <c r="B67" s="7">
        <v>1072.5</v>
      </c>
      <c r="C67" s="5">
        <f>IFERROR(((B67/B27)*100),"")</f>
        <v>0.6558446891287002</v>
      </c>
      <c r="D67" s="7">
        <v>1430</v>
      </c>
      <c r="E67" s="5">
        <f>IFERROR(((D67/D27)*100),"")</f>
        <v>1.0226555389348206</v>
      </c>
      <c r="F67" s="7">
        <v>1852.5</v>
      </c>
      <c r="G67" s="5">
        <f>IFERROR(((F67/F27)*100),"")</f>
        <v>1.1362082806859499</v>
      </c>
      <c r="H67" s="7">
        <v>1413.75</v>
      </c>
      <c r="I67" s="5">
        <f>IFERROR(((H67/H27)*100),"")</f>
        <v>0.86824806241731678</v>
      </c>
      <c r="J67" s="7">
        <v>1543.75</v>
      </c>
      <c r="K67" s="5">
        <f>IFERROR(((J67/J27)*100),"")</f>
        <v>0.95658791797392595</v>
      </c>
      <c r="L67" s="7">
        <v>1413.75</v>
      </c>
      <c r="M67" s="5">
        <f>IFERROR(((L67/L27)*100),"")</f>
        <v>0.94253418257302135</v>
      </c>
      <c r="N67" s="7">
        <v>1270.0999999999999</v>
      </c>
      <c r="O67" s="5">
        <f>IFERROR(((N67/N27)*100),"")</f>
        <v>0.89417309053634531</v>
      </c>
      <c r="P67" s="7">
        <v>1495</v>
      </c>
      <c r="Q67" s="5">
        <f>IFERROR(((P67/P27)*100),"")</f>
        <v>0.96856874564063089</v>
      </c>
      <c r="R67" s="7">
        <v>1072.5</v>
      </c>
      <c r="S67" s="5">
        <f>IFERROR(((R67/R27)*100),"")</f>
        <v>0.80785294831676957</v>
      </c>
      <c r="T67" s="7">
        <v>2063.75</v>
      </c>
      <c r="U67" s="5">
        <f>IFERROR(((T67/T27)*100),"")</f>
        <v>1.4199807233531461</v>
      </c>
      <c r="V67" s="21">
        <v>1072.5</v>
      </c>
      <c r="W67" s="20">
        <f>IFERROR(((V67/V27)*100),"")</f>
        <v>0.68371916450474346</v>
      </c>
      <c r="X67" s="7">
        <f>B67+D67+F67+H67+J67+L67+N67+P67+R67+T67+V67</f>
        <v>15700.1</v>
      </c>
      <c r="Y67" s="5">
        <f>IFERROR(((X67/X27)*100),"")</f>
        <v>0.93902423933285883</v>
      </c>
    </row>
    <row r="68" spans="1:25" outlineLevel="2" x14ac:dyDescent="0.2">
      <c r="A68" s="8" t="s">
        <v>61</v>
      </c>
      <c r="B68" s="7">
        <v>4522.2700000000004</v>
      </c>
      <c r="C68" s="5">
        <f>IFERROR(((B68/B27)*100),"")</f>
        <v>2.7654142305883891</v>
      </c>
      <c r="D68" s="7">
        <v>4184.6899999999996</v>
      </c>
      <c r="E68" s="5">
        <f>IFERROR(((D68/D27)*100),"")</f>
        <v>2.9926548302273805</v>
      </c>
      <c r="F68" s="7">
        <v>4855.91</v>
      </c>
      <c r="G68" s="5">
        <f>IFERROR(((F68/F27)*100),"")</f>
        <v>2.9783131726130692</v>
      </c>
      <c r="H68" s="7">
        <v>4698.5600000000004</v>
      </c>
      <c r="I68" s="5">
        <f>IFERROR(((H68/H27)*100),"")</f>
        <v>2.885599021150492</v>
      </c>
      <c r="J68" s="7">
        <v>4515.59</v>
      </c>
      <c r="K68" s="5">
        <f>IFERROR(((J68/J27)*100),"")</f>
        <v>2.7980947928899633</v>
      </c>
      <c r="L68" s="7">
        <v>4448.25</v>
      </c>
      <c r="M68" s="5">
        <f>IFERROR(((L68/L27)*100),"")</f>
        <v>2.9656075527005781</v>
      </c>
      <c r="N68" s="7">
        <v>4338.67</v>
      </c>
      <c r="O68" s="5">
        <f>IFERROR(((N68/N27)*100),"")</f>
        <v>3.0545011910222235</v>
      </c>
      <c r="P68" s="7">
        <v>4241.07</v>
      </c>
      <c r="Q68" s="5">
        <f>IFERROR(((P68/P27)*100),"")</f>
        <v>2.7476708027251573</v>
      </c>
      <c r="R68" s="7">
        <v>3903.78</v>
      </c>
      <c r="S68" s="5">
        <f>IFERROR(((R68/R27)*100),"")</f>
        <v>2.9404943427319714</v>
      </c>
      <c r="T68" s="7">
        <v>3995.23</v>
      </c>
      <c r="U68" s="5">
        <f>IFERROR(((T68/T27)*100),"")</f>
        <v>2.7489519492972447</v>
      </c>
      <c r="V68" s="21">
        <v>4169.5600000000004</v>
      </c>
      <c r="W68" s="20">
        <f>IFERROR(((V68/V27)*100),"")</f>
        <v>2.6580961114707682</v>
      </c>
      <c r="X68" s="7">
        <f>B68+D68+F68+H68+J68+L68+N68+P68+R68+T68+V68</f>
        <v>47873.58</v>
      </c>
      <c r="Y68" s="5">
        <f>IFERROR(((X68/X27)*100),"")</f>
        <v>2.863322656775483</v>
      </c>
    </row>
    <row r="69" spans="1:25" outlineLevel="2" x14ac:dyDescent="0.2">
      <c r="A69" s="8" t="s">
        <v>62</v>
      </c>
      <c r="C69" s="5">
        <f>IFERROR(((B69/B27)*100),"")</f>
        <v>0</v>
      </c>
      <c r="E69" s="5">
        <f>IFERROR(((D69/D27)*100),"")</f>
        <v>0</v>
      </c>
      <c r="G69" s="5">
        <f>IFERROR(((F69/F27)*100),"")</f>
        <v>0</v>
      </c>
      <c r="I69" s="5">
        <f>IFERROR(((H69/H27)*100),"")</f>
        <v>0</v>
      </c>
      <c r="K69" s="5">
        <f>IFERROR(((J69/J27)*100),"")</f>
        <v>0</v>
      </c>
      <c r="M69" s="5">
        <f>IFERROR(((L69/L27)*100),"")</f>
        <v>0</v>
      </c>
      <c r="O69" s="5">
        <f>IFERROR(((N69/N27)*100),"")</f>
        <v>0</v>
      </c>
      <c r="Q69" s="5">
        <f>IFERROR(((P69/P27)*100),"")</f>
        <v>0</v>
      </c>
      <c r="S69" s="5">
        <f>IFERROR(((R69/R27)*100),"")</f>
        <v>0</v>
      </c>
      <c r="U69" s="5">
        <f>IFERROR(((T69/T27)*100),"")</f>
        <v>0</v>
      </c>
      <c r="W69" s="20">
        <f>IFERROR(((V69/V27)*100),"")</f>
        <v>0</v>
      </c>
      <c r="Y69" s="5">
        <f>IFERROR(((X69/X27)*100),"")</f>
        <v>0</v>
      </c>
    </row>
    <row r="70" spans="1:25" outlineLevel="3" x14ac:dyDescent="0.2">
      <c r="A70" s="14" t="s">
        <v>63</v>
      </c>
      <c r="B70" s="7">
        <v>3423.96</v>
      </c>
      <c r="C70" s="5">
        <f>IFERROR(((B70/B27)*100),"")</f>
        <v>2.0937864632066239</v>
      </c>
      <c r="D70" s="7">
        <v>2497.98</v>
      </c>
      <c r="E70" s="5">
        <f>IFERROR(((D70/D27)*100),"")</f>
        <v>1.7864147434604218</v>
      </c>
      <c r="F70" s="7">
        <v>2796.69</v>
      </c>
      <c r="G70" s="5">
        <f>IFERROR(((F70/F27)*100),"")</f>
        <v>1.7153157012208307</v>
      </c>
      <c r="H70" s="7">
        <v>3406.56</v>
      </c>
      <c r="I70" s="5">
        <f>IFERROR(((H70/H27)*100),"")</f>
        <v>2.0921231614559397</v>
      </c>
      <c r="J70" s="7">
        <v>3544.86</v>
      </c>
      <c r="K70" s="5">
        <f>IFERROR(((J70/J27)*100),"")</f>
        <v>2.1965799170261064</v>
      </c>
      <c r="L70" s="7">
        <v>2149.62</v>
      </c>
      <c r="M70" s="5">
        <f>IFERROR(((L70/L27)*100),"")</f>
        <v>1.4331319749196236</v>
      </c>
      <c r="N70" s="7">
        <v>1938.5</v>
      </c>
      <c r="O70" s="5">
        <f>IFERROR(((N70/N27)*100),"")</f>
        <v>1.3647386316075156</v>
      </c>
      <c r="P70" s="7">
        <v>3566.74</v>
      </c>
      <c r="Q70" s="5">
        <f>IFERROR(((P70/P27)*100),"")</f>
        <v>2.3107912293152264</v>
      </c>
      <c r="R70" s="7">
        <v>2882</v>
      </c>
      <c r="S70" s="5">
        <f>IFERROR(((R70/R27)*100),"")</f>
        <v>2.170845871374294</v>
      </c>
      <c r="T70" s="7">
        <v>3041.59</v>
      </c>
      <c r="U70" s="5">
        <f>IFERROR(((T70/T27)*100),"")</f>
        <v>2.0927918441398887</v>
      </c>
      <c r="V70" s="21">
        <v>4135.54</v>
      </c>
      <c r="W70" s="20">
        <f>IFERROR(((V70/V27)*100),"")</f>
        <v>2.6364083483225613</v>
      </c>
      <c r="X70" s="7">
        <f t="shared" ref="X70:X83" si="3">B70+D70+F70+H70+J70+L70+N70+P70+R70+T70+V70</f>
        <v>33384.04</v>
      </c>
      <c r="Y70" s="5">
        <f>IFERROR(((X70/X27)*100),"")</f>
        <v>1.9967021080666831</v>
      </c>
    </row>
    <row r="71" spans="1:25" outlineLevel="3" x14ac:dyDescent="0.2">
      <c r="A71" s="14" t="s">
        <v>64</v>
      </c>
      <c r="B71" s="7">
        <v>786.55</v>
      </c>
      <c r="C71" s="5">
        <f>IFERROR(((B71/B27)*100),"")</f>
        <v>0.48098334753769612</v>
      </c>
      <c r="D71" s="7">
        <v>727.43</v>
      </c>
      <c r="E71" s="5">
        <f>IFERROR(((D71/D27)*100),"")</f>
        <v>0.52021700607507448</v>
      </c>
      <c r="F71" s="7">
        <v>600.78</v>
      </c>
      <c r="G71" s="5">
        <f>IFERROR(((F71/F27)*100),"")</f>
        <v>0.36848108549015107</v>
      </c>
      <c r="H71" s="7">
        <v>2137.94</v>
      </c>
      <c r="I71" s="5">
        <f>IFERROR(((H71/H27)*100),"")</f>
        <v>1.3130060212657673</v>
      </c>
      <c r="J71" s="7">
        <v>880.41</v>
      </c>
      <c r="K71" s="5">
        <f>IFERROR(((J71/J27)*100),"")</f>
        <v>0.54554789885889821</v>
      </c>
      <c r="L71" s="7">
        <v>786.8</v>
      </c>
      <c r="M71" s="5">
        <f>IFERROR(((L71/L27)*100),"")</f>
        <v>0.52455235709881742</v>
      </c>
      <c r="N71" s="7">
        <v>735.44</v>
      </c>
      <c r="O71" s="5">
        <f>IFERROR(((N71/N27)*100),"")</f>
        <v>0.51776289875131876</v>
      </c>
      <c r="P71" s="7">
        <v>863.61</v>
      </c>
      <c r="Q71" s="5">
        <f>IFERROR(((P71/P27)*100),"")</f>
        <v>0.55950879894495331</v>
      </c>
      <c r="R71" s="7">
        <v>251.72</v>
      </c>
      <c r="S71" s="5">
        <f>IFERROR(((R71/R27)*100),"")</f>
        <v>0.18960628825202541</v>
      </c>
      <c r="T71" s="7">
        <v>325.63</v>
      </c>
      <c r="U71" s="5">
        <f>IFERROR(((T71/T27)*100),"")</f>
        <v>0.22405248840483824</v>
      </c>
      <c r="V71" s="21">
        <v>413.41</v>
      </c>
      <c r="W71" s="20">
        <f>IFERROR(((V71/V27)*100),"")</f>
        <v>0.26354903477660235</v>
      </c>
      <c r="X71" s="7">
        <f t="shared" si="3"/>
        <v>8509.7200000000012</v>
      </c>
      <c r="Y71" s="5">
        <f>IFERROR(((X71/X27)*100),"")</f>
        <v>0.50896703523771281</v>
      </c>
    </row>
    <row r="72" spans="1:25" outlineLevel="3" x14ac:dyDescent="0.2">
      <c r="A72" s="14" t="s">
        <v>65</v>
      </c>
      <c r="B72" s="7">
        <v>1433.08</v>
      </c>
      <c r="C72" s="5">
        <f>IFERROR(((B72/B27)*100),"")</f>
        <v>0.87634303691986726</v>
      </c>
      <c r="D72" s="7">
        <v>1638.7</v>
      </c>
      <c r="E72" s="5">
        <f>IFERROR(((D72/D27)*100),"")</f>
        <v>1.1719060361206228</v>
      </c>
      <c r="F72" s="7">
        <v>1614.01</v>
      </c>
      <c r="G72" s="5">
        <f>IFERROR(((F72/F27)*100),"")</f>
        <v>0.98993334796757348</v>
      </c>
      <c r="H72" s="7">
        <v>1481.64</v>
      </c>
      <c r="I72" s="5">
        <f>IFERROR(((H72/H27)*100),"")</f>
        <v>0.9099423937754153</v>
      </c>
      <c r="J72" s="7">
        <v>1582.93</v>
      </c>
      <c r="K72" s="5">
        <f>IFERROR(((J72/J27)*100),"")</f>
        <v>0.9808658869625696</v>
      </c>
      <c r="L72" s="7">
        <v>2456.94</v>
      </c>
      <c r="M72" s="5">
        <f>IFERROR(((L72/L27)*100),"")</f>
        <v>1.6380194055037729</v>
      </c>
      <c r="N72" s="7">
        <v>1585.62</v>
      </c>
      <c r="O72" s="5">
        <f>IFERROR(((N72/N27)*100),"")</f>
        <v>1.1163048073507911</v>
      </c>
      <c r="P72" s="7">
        <v>1571.7</v>
      </c>
      <c r="Q72" s="5">
        <f>IFERROR(((P72/P27)*100),"")</f>
        <v>1.0182605334604546</v>
      </c>
      <c r="R72" s="7">
        <v>1373.84</v>
      </c>
      <c r="S72" s="5">
        <f>IFERROR(((R72/R27)*100),"")</f>
        <v>1.0348351464014087</v>
      </c>
      <c r="T72" s="7">
        <v>1005.06</v>
      </c>
      <c r="U72" s="5">
        <f>IFERROR(((T72/T27)*100),"")</f>
        <v>0.69154007307731691</v>
      </c>
      <c r="V72" s="21">
        <v>1050.97</v>
      </c>
      <c r="W72" s="20">
        <f>IFERROR(((V72/V27)*100),"")</f>
        <v>0.66999378118372988</v>
      </c>
      <c r="X72" s="7">
        <f t="shared" si="3"/>
        <v>16794.490000000002</v>
      </c>
      <c r="Y72" s="5">
        <f>IFERROR(((X72/X27)*100),"")</f>
        <v>1.0044797929461153</v>
      </c>
    </row>
    <row r="73" spans="1:25" outlineLevel="3" x14ac:dyDescent="0.2">
      <c r="A73" s="14" t="s">
        <v>66</v>
      </c>
      <c r="C73" s="5">
        <f>IFERROR(((B73/B27)*100),"")</f>
        <v>0</v>
      </c>
      <c r="E73" s="5">
        <f>IFERROR(((D73/D27)*100),"")</f>
        <v>0</v>
      </c>
      <c r="G73" s="5">
        <f>IFERROR(((F73/F27)*100),"")</f>
        <v>0</v>
      </c>
      <c r="H73" s="7">
        <v>67.459999999999994</v>
      </c>
      <c r="I73" s="5">
        <f>IFERROR(((H73/H27)*100),"")</f>
        <v>4.1430248835135054E-2</v>
      </c>
      <c r="K73" s="5">
        <f>IFERROR(((J73/J27)*100),"")</f>
        <v>0</v>
      </c>
      <c r="M73" s="5">
        <f>IFERROR(((L73/L27)*100),"")</f>
        <v>0</v>
      </c>
      <c r="O73" s="5">
        <f>IFERROR(((N73/N27)*100),"")</f>
        <v>0</v>
      </c>
      <c r="Q73" s="5">
        <f>IFERROR(((P73/P27)*100),"")</f>
        <v>0</v>
      </c>
      <c r="S73" s="5">
        <f>IFERROR(((R73/R27)*100),"")</f>
        <v>0</v>
      </c>
      <c r="U73" s="5">
        <f>IFERROR(((T73/T27)*100),"")</f>
        <v>0</v>
      </c>
      <c r="W73" s="20">
        <f>IFERROR(((V73/V27)*100),"")</f>
        <v>0</v>
      </c>
      <c r="X73" s="7">
        <f t="shared" si="3"/>
        <v>67.459999999999994</v>
      </c>
      <c r="Y73" s="5">
        <f>IFERROR(((X73/X27)*100),"")</f>
        <v>4.0347880067894241E-3</v>
      </c>
    </row>
    <row r="74" spans="1:25" outlineLevel="3" x14ac:dyDescent="0.2">
      <c r="A74" s="14" t="s">
        <v>67</v>
      </c>
      <c r="B74" s="7">
        <v>55.71</v>
      </c>
      <c r="C74" s="5">
        <f>IFERROR(((B74/B27)*100),"")</f>
        <v>3.4067233222713177E-2</v>
      </c>
      <c r="D74" s="7">
        <v>187.35</v>
      </c>
      <c r="E74" s="5">
        <f>IFERROR(((D74/D27)*100),"")</f>
        <v>0.13398217847513191</v>
      </c>
      <c r="F74" s="7">
        <v>94.42</v>
      </c>
      <c r="G74" s="5">
        <f>IFERROR(((F74/F27)*100),"")</f>
        <v>5.7911355391291434E-2</v>
      </c>
      <c r="H74" s="7">
        <v>208.37</v>
      </c>
      <c r="I74" s="5">
        <f>IFERROR(((H74/H27)*100),"")</f>
        <v>0.12796947746482495</v>
      </c>
      <c r="J74" s="7">
        <v>131.61000000000001</v>
      </c>
      <c r="K74" s="5">
        <f>IFERROR(((J74/J27)*100),"")</f>
        <v>8.1552411909019212E-2</v>
      </c>
      <c r="L74" s="7">
        <v>52.65</v>
      </c>
      <c r="M74" s="5">
        <f>IFERROR(((L74/L27)*100),"")</f>
        <v>3.5101273006167694E-2</v>
      </c>
      <c r="N74" s="7">
        <v>85.97</v>
      </c>
      <c r="O74" s="5">
        <f>IFERROR(((N74/N27)*100),"")</f>
        <v>6.0524415867577057E-2</v>
      </c>
      <c r="P74" s="7">
        <v>46.09</v>
      </c>
      <c r="Q74" s="5">
        <f>IFERROR(((P74/P27)*100),"")</f>
        <v>2.9860423736840586E-2</v>
      </c>
      <c r="R74" s="7">
        <v>62.02</v>
      </c>
      <c r="S74" s="5">
        <f>IFERROR(((R74/R27)*100),"")</f>
        <v>4.6716121076555761E-2</v>
      </c>
      <c r="T74" s="7">
        <v>153.69999999999999</v>
      </c>
      <c r="U74" s="5">
        <f>IFERROR(((T74/T27)*100),"")</f>
        <v>0.10575459100151594</v>
      </c>
      <c r="V74" s="21">
        <v>113.91</v>
      </c>
      <c r="W74" s="20">
        <f>IFERROR(((V74/V27)*100),"")</f>
        <v>7.2617669024461845E-2</v>
      </c>
      <c r="X74" s="7">
        <f t="shared" si="3"/>
        <v>1191.8000000000002</v>
      </c>
      <c r="Y74" s="5">
        <f>IFERROR(((X74/X27)*100),"")</f>
        <v>7.1281653520480839E-2</v>
      </c>
    </row>
    <row r="75" spans="1:25" outlineLevel="3" x14ac:dyDescent="0.2">
      <c r="A75" s="14" t="s">
        <v>68</v>
      </c>
      <c r="B75" s="7">
        <v>134.16</v>
      </c>
      <c r="C75" s="5">
        <f>IFERROR(((B75/B27)*100),"")</f>
        <v>8.2040208385553773E-2</v>
      </c>
      <c r="D75" s="7">
        <v>392.55</v>
      </c>
      <c r="E75" s="5">
        <f>IFERROR(((D75/D27)*100),"")</f>
        <v>0.28072967259361103</v>
      </c>
      <c r="F75" s="7">
        <v>572.26</v>
      </c>
      <c r="G75" s="5">
        <f>IFERROR(((F75/F27)*100),"")</f>
        <v>0.35098869133891586</v>
      </c>
      <c r="H75" s="7">
        <v>338.5</v>
      </c>
      <c r="I75" s="5">
        <f>IFERROR(((H75/H27)*100),"")</f>
        <v>0.20788821865836371</v>
      </c>
      <c r="J75" s="7">
        <v>297.64999999999998</v>
      </c>
      <c r="K75" s="5">
        <f>IFERROR(((J75/J27)*100),"")</f>
        <v>0.18443944536676213</v>
      </c>
      <c r="L75" s="7">
        <v>121.6</v>
      </c>
      <c r="M75" s="5">
        <f>IFERROR(((L75/L27)*100),"")</f>
        <v>8.1069606791072946E-2</v>
      </c>
      <c r="N75" s="7">
        <v>109.2</v>
      </c>
      <c r="O75" s="5">
        <f>IFERROR(((N75/N27)*100),"")</f>
        <v>7.6878750875182214E-2</v>
      </c>
      <c r="P75" s="7">
        <v>149.13</v>
      </c>
      <c r="Q75" s="5">
        <f>IFERROR(((P75/P27)*100),"")</f>
        <v>9.66171618979179E-2</v>
      </c>
      <c r="R75" s="7">
        <v>30.39</v>
      </c>
      <c r="S75" s="5">
        <f>IFERROR(((R75/R27)*100),"")</f>
        <v>2.2891049976080775E-2</v>
      </c>
      <c r="T75" s="7">
        <v>211.24</v>
      </c>
      <c r="U75" s="5">
        <f>IFERROR(((T75/T27)*100),"")</f>
        <v>0.14534547692361893</v>
      </c>
      <c r="V75" s="21">
        <v>471.33</v>
      </c>
      <c r="W75" s="20">
        <f>IFERROR(((V75/V27)*100),"")</f>
        <v>0.3004730571617909</v>
      </c>
      <c r="X75" s="7">
        <f t="shared" si="3"/>
        <v>2828.0099999999993</v>
      </c>
      <c r="Y75" s="5">
        <f>IFERROR(((X75/X27)*100),"")</f>
        <v>0.16914350475956949</v>
      </c>
    </row>
    <row r="76" spans="1:25" outlineLevel="3" x14ac:dyDescent="0.2">
      <c r="A76" s="14" t="s">
        <v>69</v>
      </c>
      <c r="B76" s="7">
        <v>0</v>
      </c>
      <c r="C76" s="5">
        <f>IFERROR(((B76/B27)*100),"")</f>
        <v>0</v>
      </c>
      <c r="D76" s="7">
        <v>0</v>
      </c>
      <c r="E76" s="5">
        <f>IFERROR(((D76/D27)*100),"")</f>
        <v>0</v>
      </c>
      <c r="F76" s="7">
        <v>0</v>
      </c>
      <c r="G76" s="5">
        <f>IFERROR(((F76/F27)*100),"")</f>
        <v>0</v>
      </c>
      <c r="H76" s="7">
        <v>0</v>
      </c>
      <c r="I76" s="5">
        <f>IFERROR(((H76/H27)*100),"")</f>
        <v>0</v>
      </c>
      <c r="J76" s="7">
        <v>0</v>
      </c>
      <c r="K76" s="5">
        <f>IFERROR(((J76/J27)*100),"")</f>
        <v>0</v>
      </c>
      <c r="L76" s="7">
        <v>0</v>
      </c>
      <c r="M76" s="5">
        <f>IFERROR(((L76/L27)*100),"")</f>
        <v>0</v>
      </c>
      <c r="N76" s="7">
        <v>0</v>
      </c>
      <c r="O76" s="5">
        <f>IFERROR(((N76/N27)*100),"")</f>
        <v>0</v>
      </c>
      <c r="P76" s="7">
        <v>0</v>
      </c>
      <c r="Q76" s="5">
        <f>IFERROR(((P76/P27)*100),"")</f>
        <v>0</v>
      </c>
      <c r="R76" s="7">
        <v>0</v>
      </c>
      <c r="S76" s="5">
        <f>IFERROR(((R76/R27)*100),"")</f>
        <v>0</v>
      </c>
      <c r="U76" s="5">
        <f>IFERROR(((T76/T27)*100),"")</f>
        <v>0</v>
      </c>
      <c r="W76" s="20">
        <f>IFERROR(((V76/V27)*100),"")</f>
        <v>0</v>
      </c>
      <c r="X76" s="7">
        <f t="shared" si="3"/>
        <v>0</v>
      </c>
      <c r="Y76" s="5">
        <f>IFERROR(((X76/X27)*100),"")</f>
        <v>0</v>
      </c>
    </row>
    <row r="77" spans="1:25" outlineLevel="3" x14ac:dyDescent="0.2">
      <c r="A77" s="14" t="s">
        <v>70</v>
      </c>
      <c r="C77" s="5">
        <f>IFERROR(((B77/B27)*100),"")</f>
        <v>0</v>
      </c>
      <c r="E77" s="5">
        <f>IFERROR(((D77/D27)*100),"")</f>
        <v>0</v>
      </c>
      <c r="G77" s="5">
        <f>IFERROR(((F77/F27)*100),"")</f>
        <v>0</v>
      </c>
      <c r="I77" s="5">
        <f>IFERROR(((H77/H27)*100),"")</f>
        <v>0</v>
      </c>
      <c r="K77" s="5">
        <f>IFERROR(((J77/J27)*100),"")</f>
        <v>0</v>
      </c>
      <c r="M77" s="5">
        <f>IFERROR(((L77/L27)*100),"")</f>
        <v>0</v>
      </c>
      <c r="N77" s="7">
        <v>1580.28</v>
      </c>
      <c r="O77" s="5">
        <f>IFERROR(((N77/N27)*100),"")</f>
        <v>1.112545351950851</v>
      </c>
      <c r="P77" s="7">
        <v>1777.29</v>
      </c>
      <c r="Q77" s="5">
        <f>IFERROR(((P77/P27)*100),"")</f>
        <v>1.1514565524679843</v>
      </c>
      <c r="R77" s="7">
        <v>1691</v>
      </c>
      <c r="S77" s="5">
        <f>IFERROR(((R77/R27)*100),"")</f>
        <v>1.2737336462504965</v>
      </c>
      <c r="T77" s="7">
        <v>1685</v>
      </c>
      <c r="U77" s="5">
        <f>IFERROR(((T77/T27)*100),"")</f>
        <v>1.1593785675833075</v>
      </c>
      <c r="V77" s="21">
        <v>1559.5</v>
      </c>
      <c r="W77" s="20">
        <f>IFERROR(((V77/V27)*100),"")</f>
        <v>0.99418185272274817</v>
      </c>
      <c r="X77" s="7">
        <f t="shared" si="3"/>
        <v>8293.07</v>
      </c>
      <c r="Y77" s="5">
        <f>IFERROR(((X77/X27)*100),"")</f>
        <v>0.49600918137363142</v>
      </c>
    </row>
    <row r="78" spans="1:25" outlineLevel="3" x14ac:dyDescent="0.2">
      <c r="A78" s="14" t="s">
        <v>71</v>
      </c>
      <c r="C78" s="5">
        <f>IFERROR(((B78/B27)*100),"")</f>
        <v>0</v>
      </c>
      <c r="E78" s="5">
        <f>IFERROR(((D78/D27)*100),"")</f>
        <v>0</v>
      </c>
      <c r="G78" s="5">
        <f>IFERROR(((F78/F27)*100),"")</f>
        <v>0</v>
      </c>
      <c r="I78" s="5">
        <f>IFERROR(((H78/H27)*100),"")</f>
        <v>0</v>
      </c>
      <c r="K78" s="5">
        <f>IFERROR(((J78/J27)*100),"")</f>
        <v>0</v>
      </c>
      <c r="M78" s="5">
        <f>IFERROR(((L78/L27)*100),"")</f>
        <v>0</v>
      </c>
      <c r="O78" s="5">
        <f>IFERROR(((N78/N27)*100),"")</f>
        <v>0</v>
      </c>
      <c r="Q78" s="5">
        <f>IFERROR(((P78/P27)*100),"")</f>
        <v>0</v>
      </c>
      <c r="R78" s="7">
        <v>1050.8800000000001</v>
      </c>
      <c r="S78" s="5">
        <f>IFERROR(((R78/R27)*100),"")</f>
        <v>0.79156783806725128</v>
      </c>
      <c r="T78" s="7">
        <v>961.09</v>
      </c>
      <c r="U78" s="5">
        <f>IFERROR(((T78/T27)*100),"")</f>
        <v>0.66128614096061777</v>
      </c>
      <c r="V78" s="21">
        <v>1147.31</v>
      </c>
      <c r="W78" s="20">
        <f>IFERROR(((V78/V27)*100),"")</f>
        <v>0.73141056841765706</v>
      </c>
      <c r="X78" s="7">
        <f t="shared" si="3"/>
        <v>3159.28</v>
      </c>
      <c r="Y78" s="5">
        <f>IFERROR(((X78/X27)*100),"")</f>
        <v>0.18895679001022378</v>
      </c>
    </row>
    <row r="79" spans="1:25" outlineLevel="3" x14ac:dyDescent="0.2">
      <c r="A79" s="14" t="s">
        <v>72</v>
      </c>
      <c r="C79" s="5">
        <f>IFERROR(((B79/B27)*100),"")</f>
        <v>0</v>
      </c>
      <c r="E79" s="5">
        <f>IFERROR(((D79/D27)*100),"")</f>
        <v>0</v>
      </c>
      <c r="G79" s="5">
        <f>IFERROR(((F79/F27)*100),"")</f>
        <v>0</v>
      </c>
      <c r="I79" s="5">
        <f>IFERROR(((H79/H27)*100),"")</f>
        <v>0</v>
      </c>
      <c r="K79" s="5">
        <f>IFERROR(((J79/J27)*100),"")</f>
        <v>0</v>
      </c>
      <c r="M79" s="5">
        <f>IFERROR(((L79/L27)*100),"")</f>
        <v>0</v>
      </c>
      <c r="O79" s="5">
        <f>IFERROR(((N79/N27)*100),"")</f>
        <v>0</v>
      </c>
      <c r="Q79" s="5">
        <f>IFERROR(((P79/P27)*100),"")</f>
        <v>0</v>
      </c>
      <c r="R79" s="7">
        <v>199</v>
      </c>
      <c r="S79" s="5">
        <f>IFERROR(((R79/R27)*100),"")</f>
        <v>0.14989532560842628</v>
      </c>
      <c r="T79" s="7">
        <v>200</v>
      </c>
      <c r="U79" s="5">
        <f>IFERROR(((T79/T27)*100),"")</f>
        <v>0.13761169941641632</v>
      </c>
      <c r="V79" s="21">
        <v>198</v>
      </c>
      <c r="W79" s="20">
        <f>IFERROR(((V79/V27)*100),"")</f>
        <v>0.12622507652395265</v>
      </c>
      <c r="X79" s="7">
        <f t="shared" si="3"/>
        <v>597</v>
      </c>
      <c r="Y79" s="5">
        <f>IFERROR(((X79/X27)*100),"")</f>
        <v>3.5706617848403302E-2</v>
      </c>
    </row>
    <row r="80" spans="1:25" outlineLevel="3" x14ac:dyDescent="0.2">
      <c r="A80" s="14" t="s">
        <v>73</v>
      </c>
      <c r="C80" s="5">
        <f>IFERROR(((B80/B27)*100),"")</f>
        <v>0</v>
      </c>
      <c r="E80" s="5">
        <f>IFERROR(((D80/D27)*100),"")</f>
        <v>0</v>
      </c>
      <c r="G80" s="5">
        <f>IFERROR(((F80/F27)*100),"")</f>
        <v>0</v>
      </c>
      <c r="I80" s="5">
        <f>IFERROR(((H80/H27)*100),"")</f>
        <v>0</v>
      </c>
      <c r="K80" s="5">
        <f>IFERROR(((J80/J27)*100),"")</f>
        <v>0</v>
      </c>
      <c r="M80" s="5">
        <f>IFERROR(((L80/L27)*100),"")</f>
        <v>0</v>
      </c>
      <c r="O80" s="5">
        <f>IFERROR(((N80/N27)*100),"")</f>
        <v>0</v>
      </c>
      <c r="Q80" s="5">
        <f>IFERROR(((P80/P27)*100),"")</f>
        <v>0</v>
      </c>
      <c r="R80" s="7">
        <v>396.6</v>
      </c>
      <c r="S80" s="5">
        <f>IFERROR(((R80/R27)*100),"")</f>
        <v>0.29873611123769778</v>
      </c>
      <c r="T80" s="7">
        <v>485.49</v>
      </c>
      <c r="U80" s="5">
        <f>IFERROR(((T80/T27)*100),"")</f>
        <v>0.33404551974837982</v>
      </c>
      <c r="V80" s="21">
        <v>621.16</v>
      </c>
      <c r="W80" s="20">
        <f>IFERROR(((V80/V27)*100),"")</f>
        <v>0.39598974006877996</v>
      </c>
      <c r="X80" s="7">
        <f t="shared" si="3"/>
        <v>1503.25</v>
      </c>
      <c r="Y80" s="5">
        <f>IFERROR(((X80/X27)*100),"")</f>
        <v>8.9909502982600115E-2</v>
      </c>
    </row>
    <row r="81" spans="1:25" outlineLevel="3" x14ac:dyDescent="0.2">
      <c r="A81" s="14" t="s">
        <v>74</v>
      </c>
      <c r="C81" s="5">
        <f>IFERROR(((B81/B27)*100),"")</f>
        <v>0</v>
      </c>
      <c r="E81" s="5">
        <f>IFERROR(((D81/D27)*100),"")</f>
        <v>0</v>
      </c>
      <c r="G81" s="5">
        <f>IFERROR(((F81/F27)*100),"")</f>
        <v>0</v>
      </c>
      <c r="I81" s="5">
        <f>IFERROR(((H81/H27)*100),"")</f>
        <v>0</v>
      </c>
      <c r="K81" s="5">
        <f>IFERROR(((J81/J27)*100),"")</f>
        <v>0</v>
      </c>
      <c r="M81" s="5">
        <f>IFERROR(((L81/L27)*100),"")</f>
        <v>0</v>
      </c>
      <c r="O81" s="5">
        <f>IFERROR(((N81/N27)*100),"")</f>
        <v>0</v>
      </c>
      <c r="Q81" s="5">
        <f>IFERROR(((P81/P27)*100),"")</f>
        <v>0</v>
      </c>
      <c r="S81" s="5">
        <f>IFERROR(((R81/R27)*100),"")</f>
        <v>0</v>
      </c>
      <c r="T81" s="7">
        <v>157.03</v>
      </c>
      <c r="U81" s="5">
        <f>IFERROR(((T81/T27)*100),"")</f>
        <v>0.10804582579679928</v>
      </c>
      <c r="V81" s="21">
        <v>14.9</v>
      </c>
      <c r="W81" s="20">
        <f>IFERROR(((V81/V27)*100),"")</f>
        <v>9.4987557586206795E-3</v>
      </c>
      <c r="X81" s="7">
        <f t="shared" si="3"/>
        <v>171.93</v>
      </c>
      <c r="Y81" s="5">
        <f>IFERROR(((X81/X27)*100),"")</f>
        <v>1.0283147079859263E-2</v>
      </c>
    </row>
    <row r="82" spans="1:25" ht="25.5" outlineLevel="3" x14ac:dyDescent="0.2">
      <c r="A82" s="14" t="s">
        <v>75</v>
      </c>
      <c r="C82" s="5">
        <f>IFERROR(((B82/B27)*100),"")</f>
        <v>0</v>
      </c>
      <c r="E82" s="5">
        <f>IFERROR(((D82/D27)*100),"")</f>
        <v>0</v>
      </c>
      <c r="G82" s="5">
        <f>IFERROR(((F82/F27)*100),"")</f>
        <v>0</v>
      </c>
      <c r="I82" s="5">
        <f>IFERROR(((H82/H27)*100),"")</f>
        <v>0</v>
      </c>
      <c r="K82" s="5">
        <f>IFERROR(((J82/J27)*100),"")</f>
        <v>0</v>
      </c>
      <c r="M82" s="5">
        <f>IFERROR(((L82/L27)*100),"")</f>
        <v>0</v>
      </c>
      <c r="O82" s="5">
        <f>IFERROR(((N82/N27)*100),"")</f>
        <v>0</v>
      </c>
      <c r="Q82" s="5">
        <f>IFERROR(((P82/P27)*100),"")</f>
        <v>0</v>
      </c>
      <c r="S82" s="5">
        <f>IFERROR(((R82/R27)*100),"")</f>
        <v>0</v>
      </c>
      <c r="T82" s="7">
        <v>117.64</v>
      </c>
      <c r="U82" s="5">
        <f>IFERROR(((T82/T27)*100),"")</f>
        <v>8.0943201596736084E-2</v>
      </c>
      <c r="V82" s="21">
        <v>11.28</v>
      </c>
      <c r="W82" s="20">
        <f>IFERROR(((V82/V27)*100),"")</f>
        <v>7.1910043595463926E-3</v>
      </c>
      <c r="X82" s="7">
        <f t="shared" si="3"/>
        <v>128.91999999999999</v>
      </c>
      <c r="Y82" s="5">
        <f>IFERROR(((X82/X27)*100),"")</f>
        <v>7.7107155326903744E-3</v>
      </c>
    </row>
    <row r="83" spans="1:25" outlineLevel="2" x14ac:dyDescent="0.2">
      <c r="A83" s="15" t="s">
        <v>76</v>
      </c>
      <c r="B83" s="10">
        <f>B69+B70+B71+B72+B73+B74+B75+B76+B77+B78+B79+B80+B81+B82</f>
        <v>5833.46</v>
      </c>
      <c r="C83" s="11">
        <f>IFERROR(((B83/B27)*100),"")</f>
        <v>3.5672202892724547</v>
      </c>
      <c r="D83" s="10">
        <f>D69+D70+D71+D72+D73+D74+D75+D76+D77+D78+D79+D80+D81+D82</f>
        <v>5444.01</v>
      </c>
      <c r="E83" s="11">
        <f>IFERROR(((D83/D27)*100),"")</f>
        <v>3.8932496367248626</v>
      </c>
      <c r="F83" s="10">
        <f>F69+F70+F71+F72+F73+F74+F75+F76+F77+F78+F79+F80+F81+F82</f>
        <v>5678.1600000000008</v>
      </c>
      <c r="G83" s="11">
        <f>IFERROR(((F83/F27)*100),"")</f>
        <v>3.4826301814087626</v>
      </c>
      <c r="H83" s="10">
        <f>H69+H70+H71+H72+H73+H74+H75+H76+H77+H78+H79+H80+H81+H82</f>
        <v>7640.47</v>
      </c>
      <c r="I83" s="11">
        <f>IFERROR(((H83/H27)*100),"")</f>
        <v>4.6923595214554457</v>
      </c>
      <c r="J83" s="10">
        <f>J69+J70+J71+J72+J73+J74+J75+J76+J77+J78+J79+J80+J81+J82</f>
        <v>6437.46</v>
      </c>
      <c r="K83" s="11">
        <f>IFERROR(((J83/J27)*100),"")</f>
        <v>3.9889855601233553</v>
      </c>
      <c r="L83" s="10">
        <f>L69+L70+L71+L72+L73+L74+L75+L76+L77+L78+L79+L80+L81+L82</f>
        <v>5567.6100000000006</v>
      </c>
      <c r="M83" s="11">
        <f>IFERROR(((L83/L27)*100),"")</f>
        <v>3.711874617319455</v>
      </c>
      <c r="N83" s="10">
        <f>N69+N70+N71+N72+N73+N74+N75+N76+N77+N78+N79+N80+N81+N82</f>
        <v>6035.0099999999993</v>
      </c>
      <c r="O83" s="11">
        <f>IFERROR(((N83/N27)*100),"")</f>
        <v>4.2487548564032354</v>
      </c>
      <c r="P83" s="10">
        <f>P69+P70+P71+P72+P73+P74+P75+P76+P77+P78+P79+P80+P81+P82</f>
        <v>7974.5599999999995</v>
      </c>
      <c r="Q83" s="11">
        <f>IFERROR(((P83/P27)*100),"")</f>
        <v>5.1664946998233772</v>
      </c>
      <c r="R83" s="10">
        <f>R69+R70+R71+R72+R73+R74+R75+R76+R77+R78+R79+R80+R81+R82</f>
        <v>7937.4500000000007</v>
      </c>
      <c r="S83" s="11">
        <f>IFERROR(((R83/R27)*100),"")</f>
        <v>5.9788273982442366</v>
      </c>
      <c r="T83" s="10">
        <f>T69+T70+T71+T72+T73+T74+T75+T76+T77+T78+T79+T80+T81+T82</f>
        <v>8343.4699999999993</v>
      </c>
      <c r="U83" s="11">
        <f>IFERROR(((T83/T27)*100),"")</f>
        <v>5.7407954286494354</v>
      </c>
      <c r="V83" s="22">
        <f>V69+V70+V71+V72+V73+V74+V75+V76+V77+V78+V79+V80+V81+V82</f>
        <v>9737.31</v>
      </c>
      <c r="W83" s="23">
        <f>IFERROR(((V83/V27)*100),"")</f>
        <v>6.2075388883204514</v>
      </c>
      <c r="X83" s="12">
        <f t="shared" si="3"/>
        <v>76628.97</v>
      </c>
      <c r="Y83" s="11">
        <f>IFERROR(((X83/X27)*100),"")</f>
        <v>4.583184837364759</v>
      </c>
    </row>
    <row r="84" spans="1:25" outlineLevel="2" x14ac:dyDescent="0.2">
      <c r="A84" s="8" t="s">
        <v>77</v>
      </c>
      <c r="C84" s="5">
        <f>IFERROR(((B84/B27)*100),"")</f>
        <v>0</v>
      </c>
      <c r="E84" s="5">
        <f>IFERROR(((D84/D27)*100),"")</f>
        <v>0</v>
      </c>
      <c r="G84" s="5">
        <f>IFERROR(((F84/F27)*100),"")</f>
        <v>0</v>
      </c>
      <c r="I84" s="5">
        <f>IFERROR(((H84/H27)*100),"")</f>
        <v>0</v>
      </c>
      <c r="K84" s="5">
        <f>IFERROR(((J84/J27)*100),"")</f>
        <v>0</v>
      </c>
      <c r="M84" s="5">
        <f>IFERROR(((L84/L27)*100),"")</f>
        <v>0</v>
      </c>
      <c r="O84" s="5">
        <f>IFERROR(((N84/N27)*100),"")</f>
        <v>0</v>
      </c>
      <c r="Q84" s="5">
        <f>IFERROR(((P84/P27)*100),"")</f>
        <v>0</v>
      </c>
      <c r="S84" s="5">
        <f>IFERROR(((R84/R27)*100),"")</f>
        <v>0</v>
      </c>
      <c r="U84" s="5">
        <f>IFERROR(((T84/T27)*100),"")</f>
        <v>0</v>
      </c>
      <c r="W84" s="20">
        <f>IFERROR(((V84/V27)*100),"")</f>
        <v>0</v>
      </c>
      <c r="Y84" s="5">
        <f>IFERROR(((X84/X27)*100),"")</f>
        <v>0</v>
      </c>
    </row>
    <row r="85" spans="1:25" outlineLevel="3" x14ac:dyDescent="0.2">
      <c r="A85" s="14" t="s">
        <v>78</v>
      </c>
      <c r="C85" s="5">
        <f>IFERROR(((B85/B27)*100),"")</f>
        <v>0</v>
      </c>
      <c r="E85" s="5">
        <f>IFERROR(((D85/D27)*100),"")</f>
        <v>0</v>
      </c>
      <c r="G85" s="5">
        <f>IFERROR(((F85/F27)*100),"")</f>
        <v>0</v>
      </c>
      <c r="I85" s="5">
        <f>IFERROR(((H85/H27)*100),"")</f>
        <v>0</v>
      </c>
      <c r="K85" s="5">
        <f>IFERROR(((J85/J27)*100),"")</f>
        <v>0</v>
      </c>
      <c r="M85" s="5">
        <f>IFERROR(((L85/L27)*100),"")</f>
        <v>0</v>
      </c>
      <c r="O85" s="5">
        <f>IFERROR(((N85/N27)*100),"")</f>
        <v>0</v>
      </c>
      <c r="Q85" s="5">
        <f>IFERROR(((P85/P27)*100),"")</f>
        <v>0</v>
      </c>
      <c r="S85" s="5">
        <f>IFERROR(((R85/R27)*100),"")</f>
        <v>0</v>
      </c>
      <c r="T85" s="7">
        <v>2546.5700000000002</v>
      </c>
      <c r="U85" s="5">
        <f>IFERROR(((T85/T27)*100),"")</f>
        <v>1.7521891269143168</v>
      </c>
      <c r="W85" s="20">
        <f>IFERROR(((V85/V27)*100),"")</f>
        <v>0</v>
      </c>
      <c r="X85" s="7">
        <f>B85+D85+F85+H85+J85+L85+N85+P85+R85+T85+V85</f>
        <v>2546.5700000000002</v>
      </c>
      <c r="Y85" s="5">
        <f>IFERROR(((X85/X27)*100),"")</f>
        <v>0.15231055580269415</v>
      </c>
    </row>
    <row r="86" spans="1:25" ht="25.5" outlineLevel="2" x14ac:dyDescent="0.2">
      <c r="A86" s="15" t="s">
        <v>79</v>
      </c>
      <c r="B86" s="10"/>
      <c r="C86" s="11">
        <f>IFERROR(((B86/B27)*100),"")</f>
        <v>0</v>
      </c>
      <c r="D86" s="10"/>
      <c r="E86" s="11">
        <f>IFERROR(((D86/D27)*100),"")</f>
        <v>0</v>
      </c>
      <c r="F86" s="10"/>
      <c r="G86" s="11">
        <f>IFERROR(((F86/F27)*100),"")</f>
        <v>0</v>
      </c>
      <c r="H86" s="10"/>
      <c r="I86" s="11">
        <f>IFERROR(((H86/H27)*100),"")</f>
        <v>0</v>
      </c>
      <c r="J86" s="10"/>
      <c r="K86" s="11">
        <f>IFERROR(((J86/J27)*100),"")</f>
        <v>0</v>
      </c>
      <c r="L86" s="10"/>
      <c r="M86" s="11">
        <f>IFERROR(((L86/L27)*100),"")</f>
        <v>0</v>
      </c>
      <c r="N86" s="10"/>
      <c r="O86" s="11">
        <f>IFERROR(((N86/N27)*100),"")</f>
        <v>0</v>
      </c>
      <c r="P86" s="10"/>
      <c r="Q86" s="11">
        <f>IFERROR(((P86/P27)*100),"")</f>
        <v>0</v>
      </c>
      <c r="R86" s="10"/>
      <c r="S86" s="11">
        <f>IFERROR(((R86/R27)*100),"")</f>
        <v>0</v>
      </c>
      <c r="T86" s="10">
        <f>T84+T85</f>
        <v>2546.5700000000002</v>
      </c>
      <c r="U86" s="11">
        <f>IFERROR(((T86/T27)*100),"")</f>
        <v>1.7521891269143168</v>
      </c>
      <c r="V86" s="22"/>
      <c r="W86" s="23">
        <f>IFERROR(((V86/V27)*100),"")</f>
        <v>0</v>
      </c>
      <c r="X86" s="12">
        <f>B86+D86+F86+H86+J86+L86+N86+P86+R86+T86+V86</f>
        <v>2546.5700000000002</v>
      </c>
      <c r="Y86" s="11">
        <f>IFERROR(((X86/X27)*100),"")</f>
        <v>0.15231055580269415</v>
      </c>
    </row>
    <row r="87" spans="1:25" outlineLevel="2" x14ac:dyDescent="0.2">
      <c r="A87" s="8" t="s">
        <v>80</v>
      </c>
      <c r="C87" s="5">
        <f>IFERROR(((B87/B27)*100),"")</f>
        <v>0</v>
      </c>
      <c r="E87" s="5">
        <f>IFERROR(((D87/D27)*100),"")</f>
        <v>0</v>
      </c>
      <c r="G87" s="5">
        <f>IFERROR(((F87/F27)*100),"")</f>
        <v>0</v>
      </c>
      <c r="I87" s="5">
        <f>IFERROR(((H87/H27)*100),"")</f>
        <v>0</v>
      </c>
      <c r="K87" s="5">
        <f>IFERROR(((J87/J27)*100),"")</f>
        <v>0</v>
      </c>
      <c r="M87" s="5">
        <f>IFERROR(((L87/L27)*100),"")</f>
        <v>0</v>
      </c>
      <c r="O87" s="5">
        <f>IFERROR(((N87/N27)*100),"")</f>
        <v>0</v>
      </c>
      <c r="Q87" s="5">
        <f>IFERROR(((P87/P27)*100),"")</f>
        <v>0</v>
      </c>
      <c r="S87" s="5">
        <f>IFERROR(((R87/R27)*100),"")</f>
        <v>0</v>
      </c>
      <c r="U87" s="5">
        <f>IFERROR(((T87/T27)*100),"")</f>
        <v>0</v>
      </c>
      <c r="W87" s="20">
        <f>IFERROR(((V87/V27)*100),"")</f>
        <v>0</v>
      </c>
      <c r="Y87" s="5">
        <f>IFERROR(((X87/X27)*100),"")</f>
        <v>0</v>
      </c>
    </row>
    <row r="88" spans="1:25" outlineLevel="3" x14ac:dyDescent="0.2">
      <c r="A88" s="14" t="s">
        <v>81</v>
      </c>
      <c r="B88" s="7">
        <v>909.04</v>
      </c>
      <c r="C88" s="5">
        <f>IFERROR(((B88/B27)*100),"")</f>
        <v>0.55588723189329003</v>
      </c>
      <c r="D88" s="7">
        <v>475.52</v>
      </c>
      <c r="E88" s="5">
        <f>IFERROR(((D88/D27)*100),"")</f>
        <v>0.34006514816383626</v>
      </c>
      <c r="F88" s="7">
        <v>432.09</v>
      </c>
      <c r="G88" s="5">
        <f>IFERROR(((F88/F27)*100),"")</f>
        <v>0.265017131444854</v>
      </c>
      <c r="H88" s="7">
        <v>862.08</v>
      </c>
      <c r="I88" s="5">
        <f>IFERROR(((H88/H27)*100),"")</f>
        <v>0.52944246836337427</v>
      </c>
      <c r="J88" s="7">
        <v>446.06</v>
      </c>
      <c r="K88" s="5">
        <f>IFERROR(((J88/J27)*100),"")</f>
        <v>0.27640201243170814</v>
      </c>
      <c r="L88" s="7">
        <v>423.44</v>
      </c>
      <c r="M88" s="5">
        <f>IFERROR(((L88/L27)*100),"")</f>
        <v>0.28230357154286129</v>
      </c>
      <c r="N88" s="7">
        <v>383.32</v>
      </c>
      <c r="O88" s="5">
        <f>IFERROR(((N88/N27)*100),"")</f>
        <v>0.26986412807211396</v>
      </c>
      <c r="P88" s="7">
        <v>461.31</v>
      </c>
      <c r="Q88" s="5">
        <f>IFERROR(((P88/P27)*100),"")</f>
        <v>0.29886986491737755</v>
      </c>
      <c r="R88" s="7">
        <v>428.76</v>
      </c>
      <c r="S88" s="5">
        <f>IFERROR(((R88/R27)*100),"")</f>
        <v>0.32296040104456702</v>
      </c>
      <c r="T88" s="7">
        <v>423.62</v>
      </c>
      <c r="U88" s="5">
        <f>IFERROR(((T88/T27)*100),"")</f>
        <v>0.29147534053391144</v>
      </c>
      <c r="V88" s="21">
        <v>423.62</v>
      </c>
      <c r="W88" s="20">
        <f>IFERROR(((V88/V27)*100),"")</f>
        <v>0.27005791372261023</v>
      </c>
      <c r="X88" s="7">
        <f t="shared" ref="X88:X101" si="4">B88+D88+F88+H88+J88+L88+N88+P88+R88+T88+V88</f>
        <v>5668.8600000000006</v>
      </c>
      <c r="Y88" s="5">
        <f>IFERROR(((X88/X27)*100),"")</f>
        <v>0.3390549709482405</v>
      </c>
    </row>
    <row r="89" spans="1:25" outlineLevel="3" x14ac:dyDescent="0.2">
      <c r="A89" s="14" t="s">
        <v>82</v>
      </c>
      <c r="B89" s="7">
        <v>598.73</v>
      </c>
      <c r="C89" s="5">
        <f>IFERROR(((B89/B27)*100),"")</f>
        <v>0.36612950183871951</v>
      </c>
      <c r="D89" s="7">
        <v>598.73</v>
      </c>
      <c r="E89" s="5">
        <f>IFERROR(((D89/D27)*100),"")</f>
        <v>0.42817800757094066</v>
      </c>
      <c r="F89" s="7">
        <v>598.73</v>
      </c>
      <c r="G89" s="5">
        <f>IFERROR(((F89/F27)*100),"")</f>
        <v>0.36722374299330568</v>
      </c>
      <c r="H89" s="7">
        <v>598.73</v>
      </c>
      <c r="I89" s="5">
        <f>IFERROR(((H89/H27)*100),"")</f>
        <v>0.36770727668337405</v>
      </c>
      <c r="J89" s="7">
        <v>598.73</v>
      </c>
      <c r="K89" s="5">
        <f>IFERROR(((J89/J27)*100),"")</f>
        <v>0.37100429741119273</v>
      </c>
      <c r="L89" s="7">
        <v>598.73</v>
      </c>
      <c r="M89" s="5">
        <f>IFERROR(((L89/L27)*100),"")</f>
        <v>0.39916780981923616</v>
      </c>
      <c r="N89" s="7">
        <v>598.73</v>
      </c>
      <c r="O89" s="5">
        <f>IFERROR(((N89/N27)*100),"")</f>
        <v>0.42151661640565791</v>
      </c>
      <c r="P89" s="7">
        <v>718.47</v>
      </c>
      <c r="Q89" s="5">
        <f>IFERROR(((P89/P27)*100),"")</f>
        <v>0.46547664660897931</v>
      </c>
      <c r="R89" s="7">
        <v>718.47</v>
      </c>
      <c r="S89" s="5">
        <f>IFERROR(((R89/R27)*100),"")</f>
        <v>0.5411823848737991</v>
      </c>
      <c r="T89" s="7">
        <v>718.47</v>
      </c>
      <c r="U89" s="5">
        <f>IFERROR(((T89/T27)*100),"")</f>
        <v>0.49434938839856324</v>
      </c>
      <c r="V89" s="21">
        <v>718.47</v>
      </c>
      <c r="W89" s="20">
        <f>IFERROR(((V89/V27)*100),"")</f>
        <v>0.45802490267759727</v>
      </c>
      <c r="X89" s="7">
        <f t="shared" si="4"/>
        <v>7064.9900000000016</v>
      </c>
      <c r="Y89" s="5">
        <f>IFERROR(((X89/X27)*100),"")</f>
        <v>0.4225576181453784</v>
      </c>
    </row>
    <row r="90" spans="1:25" outlineLevel="3" x14ac:dyDescent="0.2">
      <c r="A90" s="14" t="s">
        <v>83</v>
      </c>
      <c r="B90" s="7">
        <v>60</v>
      </c>
      <c r="C90" s="5">
        <f>IFERROR(((B90/B27)*100),"")</f>
        <v>3.6690611979227981E-2</v>
      </c>
      <c r="E90" s="5">
        <f>IFERROR(((D90/D27)*100),"")</f>
        <v>0</v>
      </c>
      <c r="F90" s="7">
        <v>120</v>
      </c>
      <c r="G90" s="5">
        <f>IFERROR(((F90/F27)*100),"")</f>
        <v>7.3600536400709293E-2</v>
      </c>
      <c r="I90" s="5">
        <f>IFERROR(((H90/H27)*100),"")</f>
        <v>0</v>
      </c>
      <c r="K90" s="5">
        <f>IFERROR(((J90/J27)*100),"")</f>
        <v>0</v>
      </c>
      <c r="L90" s="7">
        <v>239.53</v>
      </c>
      <c r="M90" s="5">
        <f>IFERROR(((L90/L27)*100),"")</f>
        <v>0.15969245817981664</v>
      </c>
      <c r="N90" s="7">
        <v>239.53</v>
      </c>
      <c r="O90" s="5">
        <f>IFERROR(((N90/N27)*100),"")</f>
        <v>0.16863339924113913</v>
      </c>
      <c r="P90" s="7">
        <v>100</v>
      </c>
      <c r="Q90" s="5">
        <f>IFERROR(((P90/P27)*100),"")</f>
        <v>6.4787207066262939E-2</v>
      </c>
      <c r="S90" s="5">
        <f>IFERROR(((R90/R27)*100),"")</f>
        <v>0</v>
      </c>
      <c r="U90" s="5">
        <f>IFERROR(((T90/T27)*100),"")</f>
        <v>0</v>
      </c>
      <c r="W90" s="20">
        <f>IFERROR(((V90/V27)*100),"")</f>
        <v>0</v>
      </c>
      <c r="X90" s="7">
        <f t="shared" si="4"/>
        <v>759.06</v>
      </c>
      <c r="Y90" s="5">
        <f>IFERROR(((X90/X27)*100),"")</f>
        <v>4.5399439437201018E-2</v>
      </c>
    </row>
    <row r="91" spans="1:25" outlineLevel="3" x14ac:dyDescent="0.2">
      <c r="A91" s="14" t="s">
        <v>84</v>
      </c>
      <c r="B91" s="7">
        <v>181.66</v>
      </c>
      <c r="C91" s="5">
        <f>IFERROR(((B91/B27)*100),"")</f>
        <v>0.11108694286910926</v>
      </c>
      <c r="D91" s="7">
        <v>263.32</v>
      </c>
      <c r="E91" s="5">
        <f>IFERROR(((D91/D27)*100),"")</f>
        <v>0.18831164791071117</v>
      </c>
      <c r="F91" s="7">
        <v>263.32</v>
      </c>
      <c r="G91" s="5">
        <f>IFERROR(((F91/F27)*100),"")</f>
        <v>0.16150411037528975</v>
      </c>
      <c r="H91" s="7">
        <v>263.32</v>
      </c>
      <c r="I91" s="5">
        <f>IFERROR(((H91/H27)*100),"")</f>
        <v>0.16171676731793305</v>
      </c>
      <c r="J91" s="7">
        <v>263.32</v>
      </c>
      <c r="K91" s="5">
        <f>IFERROR(((J91/J27)*100),"")</f>
        <v>0.16316678902729989</v>
      </c>
      <c r="L91" s="7">
        <v>263.32</v>
      </c>
      <c r="M91" s="5">
        <f>IFERROR(((L91/L27)*100),"")</f>
        <v>0.17555303339001094</v>
      </c>
      <c r="N91" s="7">
        <v>263.32</v>
      </c>
      <c r="O91" s="5">
        <f>IFERROR(((N91/N27)*100),"")</f>
        <v>0.18538198425323238</v>
      </c>
      <c r="P91" s="7">
        <v>263.32</v>
      </c>
      <c r="Q91" s="5">
        <f>IFERROR(((P91/P27)*100),"")</f>
        <v>0.17059767364688355</v>
      </c>
      <c r="R91" s="7">
        <v>263.32</v>
      </c>
      <c r="S91" s="5">
        <f>IFERROR(((R91/R27)*100),"")</f>
        <v>0.19834390522216486</v>
      </c>
      <c r="T91" s="7">
        <v>263.32</v>
      </c>
      <c r="U91" s="5">
        <f>IFERROR(((T91/T27)*100),"")</f>
        <v>0.18117956345165373</v>
      </c>
      <c r="V91" s="21">
        <v>100</v>
      </c>
      <c r="W91" s="20">
        <f>IFERROR(((V91/V27)*100),"")</f>
        <v>6.3750038648460933E-2</v>
      </c>
      <c r="X91" s="7">
        <f t="shared" si="4"/>
        <v>2651.54</v>
      </c>
      <c r="Y91" s="5">
        <f>IFERROR(((X91/X27)*100),"")</f>
        <v>0.15858881991583801</v>
      </c>
    </row>
    <row r="92" spans="1:25" ht="25.5" outlineLevel="2" x14ac:dyDescent="0.2">
      <c r="A92" s="15" t="s">
        <v>85</v>
      </c>
      <c r="B92" s="10">
        <f>B87+B88+B89+B90+B91</f>
        <v>1749.43</v>
      </c>
      <c r="C92" s="11">
        <f>IFERROR(((B92/B27)*100),"")</f>
        <v>1.0697942885803469</v>
      </c>
      <c r="D92" s="10">
        <f>D87+D88+D89+D90+D91</f>
        <v>1337.57</v>
      </c>
      <c r="E92" s="11">
        <f>IFERROR(((D92/D27)*100),"")</f>
        <v>0.95655480364548806</v>
      </c>
      <c r="F92" s="10">
        <f>F87+F88+F89+F90+F91</f>
        <v>1414.1399999999999</v>
      </c>
      <c r="G92" s="11">
        <f>IFERROR(((F92/F27)*100),"")</f>
        <v>0.86734552121415853</v>
      </c>
      <c r="H92" s="10">
        <f>H87+H88+H89+H90+H91</f>
        <v>1724.1299999999999</v>
      </c>
      <c r="I92" s="11">
        <f>IFERROR(((H92/H27)*100),"")</f>
        <v>1.0588665123646814</v>
      </c>
      <c r="J92" s="10">
        <f>J87+J88+J89+J90+J91</f>
        <v>1308.1099999999999</v>
      </c>
      <c r="K92" s="11">
        <f>IFERROR(((J92/J27)*100),"")</f>
        <v>0.81057309887020057</v>
      </c>
      <c r="L92" s="10">
        <f>L87+L88+L89+L90+L91</f>
        <v>1525.02</v>
      </c>
      <c r="M92" s="11">
        <f>IFERROR(((L92/L27)*100),"")</f>
        <v>1.0167168729319249</v>
      </c>
      <c r="N92" s="10">
        <f>N87+N88+N89+N90+N91</f>
        <v>1484.8999999999999</v>
      </c>
      <c r="O92" s="11">
        <f>IFERROR(((N92/N27)*100),"")</f>
        <v>1.0453961279721433</v>
      </c>
      <c r="P92" s="10">
        <f>P87+P88+P89+P90+P91</f>
        <v>1543.1</v>
      </c>
      <c r="Q92" s="11">
        <f>IFERROR(((P92/P27)*100),"")</f>
        <v>0.99973139223950325</v>
      </c>
      <c r="R92" s="10">
        <f>R87+R88+R89+R90+R91</f>
        <v>1410.55</v>
      </c>
      <c r="S92" s="11">
        <f>IFERROR(((R92/R27)*100),"")</f>
        <v>1.0624866911405308</v>
      </c>
      <c r="T92" s="10">
        <f>T87+T88+T89+T90+T91</f>
        <v>1405.41</v>
      </c>
      <c r="U92" s="11">
        <f>IFERROR(((T92/T27)*100),"")</f>
        <v>0.96700429238412833</v>
      </c>
      <c r="V92" s="22">
        <f>V87+V88+V89+V90+V91</f>
        <v>1242.0900000000001</v>
      </c>
      <c r="W92" s="23">
        <f>IFERROR(((V92/V27)*100),"")</f>
        <v>0.7918328550486684</v>
      </c>
      <c r="X92" s="12">
        <f t="shared" si="4"/>
        <v>16144.449999999999</v>
      </c>
      <c r="Y92" s="11">
        <f>IFERROR(((X92/X27)*100),"")</f>
        <v>0.96560084844665772</v>
      </c>
    </row>
    <row r="93" spans="1:25" outlineLevel="2" x14ac:dyDescent="0.2">
      <c r="A93" s="8" t="s">
        <v>86</v>
      </c>
      <c r="C93" s="5">
        <f>IFERROR(((B93/B27)*100),"")</f>
        <v>0</v>
      </c>
      <c r="E93" s="5">
        <f>IFERROR(((D93/D27)*100),"")</f>
        <v>0</v>
      </c>
      <c r="G93" s="5">
        <f>IFERROR(((F93/F27)*100),"")</f>
        <v>0</v>
      </c>
      <c r="I93" s="5">
        <f>IFERROR(((H93/H27)*100),"")</f>
        <v>0</v>
      </c>
      <c r="K93" s="5">
        <f>IFERROR(((J93/J27)*100),"")</f>
        <v>0</v>
      </c>
      <c r="M93" s="5">
        <f>IFERROR(((L93/L27)*100),"")</f>
        <v>0</v>
      </c>
      <c r="O93" s="5">
        <f>IFERROR(((N93/N27)*100),"")</f>
        <v>0</v>
      </c>
      <c r="Q93" s="5">
        <f>IFERROR(((P93/P27)*100),"")</f>
        <v>0</v>
      </c>
      <c r="R93" s="7">
        <v>107.95</v>
      </c>
      <c r="S93" s="5">
        <f>IFERROR(((R93/R27)*100),"")</f>
        <v>8.1312564821254346E-2</v>
      </c>
      <c r="U93" s="5">
        <f>IFERROR(((T93/T27)*100),"")</f>
        <v>0</v>
      </c>
      <c r="W93" s="20">
        <f>IFERROR(((V93/V27)*100),"")</f>
        <v>0</v>
      </c>
      <c r="X93" s="7">
        <f t="shared" si="4"/>
        <v>107.95</v>
      </c>
      <c r="Y93" s="5">
        <f>IFERROR(((X93/X27)*100),"")</f>
        <v>6.4564981519851534E-3</v>
      </c>
    </row>
    <row r="94" spans="1:25" outlineLevel="3" x14ac:dyDescent="0.2">
      <c r="A94" s="14" t="s">
        <v>87</v>
      </c>
      <c r="C94" s="5">
        <f>IFERROR(((B94/B27)*100),"")</f>
        <v>0</v>
      </c>
      <c r="E94" s="5">
        <f>IFERROR(((D94/D27)*100),"")</f>
        <v>0</v>
      </c>
      <c r="G94" s="5">
        <f>IFERROR(((F94/F27)*100),"")</f>
        <v>0</v>
      </c>
      <c r="I94" s="5">
        <f>IFERROR(((H94/H27)*100),"")</f>
        <v>0</v>
      </c>
      <c r="J94" s="7">
        <v>1199.96</v>
      </c>
      <c r="K94" s="5">
        <f>IFERROR(((J94/J27)*100),"")</f>
        <v>0.74355772505392215</v>
      </c>
      <c r="L94" s="7">
        <v>599.98</v>
      </c>
      <c r="M94" s="5">
        <f>IFERROR(((L94/L27)*100),"")</f>
        <v>0.40000117337588781</v>
      </c>
      <c r="N94" s="7">
        <v>269.99</v>
      </c>
      <c r="O94" s="5">
        <f>IFERROR(((N94/N27)*100),"")</f>
        <v>0.19007778341383191</v>
      </c>
      <c r="P94" s="7">
        <v>554.46</v>
      </c>
      <c r="Q94" s="5">
        <f>IFERROR(((P94/P27)*100),"")</f>
        <v>0.3592191482996015</v>
      </c>
      <c r="R94" s="7">
        <v>299.99</v>
      </c>
      <c r="S94" s="5">
        <f>IFERROR(((R94/R27)*100),"")</f>
        <v>0.22596532024759694</v>
      </c>
      <c r="T94" s="7">
        <v>299.99</v>
      </c>
      <c r="U94" s="5">
        <f>IFERROR(((T94/T27)*100),"")</f>
        <v>0.20641066853965367</v>
      </c>
      <c r="V94" s="21">
        <v>299.99</v>
      </c>
      <c r="W94" s="20">
        <f>IFERROR(((V94/V27)*100),"")</f>
        <v>0.19124374094151797</v>
      </c>
      <c r="X94" s="7">
        <f t="shared" si="4"/>
        <v>3524.3599999999997</v>
      </c>
      <c r="Y94" s="5">
        <f>IFERROR(((X94/X27)*100),"")</f>
        <v>0.2107922540706845</v>
      </c>
    </row>
    <row r="95" spans="1:25" outlineLevel="3" x14ac:dyDescent="0.2">
      <c r="A95" s="14" t="s">
        <v>88</v>
      </c>
      <c r="B95" s="7">
        <v>324.25</v>
      </c>
      <c r="C95" s="5">
        <f>IFERROR(((B95/B27)*100),"")</f>
        <v>0.19828218223774458</v>
      </c>
      <c r="D95" s="7">
        <v>435.25</v>
      </c>
      <c r="E95" s="5">
        <f>IFERROR(((D95/D27)*100),"")</f>
        <v>0.31126631001495153</v>
      </c>
      <c r="F95" s="7">
        <v>191.25</v>
      </c>
      <c r="G95" s="5">
        <f>IFERROR(((F95/F27)*100),"")</f>
        <v>0.11730085488863044</v>
      </c>
      <c r="H95" s="7">
        <v>208.25</v>
      </c>
      <c r="I95" s="5">
        <f>IFERROR(((H95/H27)*100),"")</f>
        <v>0.12789578001655613</v>
      </c>
      <c r="J95" s="7">
        <v>316.25</v>
      </c>
      <c r="K95" s="5">
        <f>IFERROR(((J95/J27)*100),"")</f>
        <v>0.19596497428939538</v>
      </c>
      <c r="L95" s="7">
        <v>2475.25</v>
      </c>
      <c r="M95" s="5">
        <f>IFERROR(((L95/L27)*100),"")</f>
        <v>1.6502265148816067</v>
      </c>
      <c r="N95" s="7">
        <v>5648.25</v>
      </c>
      <c r="O95" s="5">
        <f>IFERROR(((N95/N27)*100),"")</f>
        <v>3.976468906874981</v>
      </c>
      <c r="P95" s="7">
        <v>351.25</v>
      </c>
      <c r="Q95" s="5">
        <f>IFERROR(((P95/P27)*100),"")</f>
        <v>0.22756506482024852</v>
      </c>
      <c r="R95" s="7">
        <v>322.25</v>
      </c>
      <c r="S95" s="5">
        <f>IFERROR(((R95/R27)*100),"")</f>
        <v>0.24273250591615758</v>
      </c>
      <c r="T95" s="7">
        <v>191.25</v>
      </c>
      <c r="U95" s="5">
        <f>IFERROR(((T95/T27)*100),"")</f>
        <v>0.1315911875669481</v>
      </c>
      <c r="V95" s="21">
        <v>2544.25</v>
      </c>
      <c r="W95" s="20">
        <f>IFERROR(((V95/V27)*100),"")</f>
        <v>1.6219603583134672</v>
      </c>
      <c r="X95" s="7">
        <f t="shared" si="4"/>
        <v>13007.75</v>
      </c>
      <c r="Y95" s="5">
        <f>IFERROR(((X95/X27)*100),"")</f>
        <v>0.77799457004617767</v>
      </c>
    </row>
    <row r="96" spans="1:25" outlineLevel="3" x14ac:dyDescent="0.2">
      <c r="A96" s="14" t="s">
        <v>89</v>
      </c>
      <c r="B96" s="7">
        <v>2050</v>
      </c>
      <c r="C96" s="5">
        <f>IFERROR(((B96/B27)*100),"")</f>
        <v>1.2535959092902893</v>
      </c>
      <c r="E96" s="5">
        <f>IFERROR(((D96/D27)*100),"")</f>
        <v>0</v>
      </c>
      <c r="G96" s="5">
        <f>IFERROR(((F96/F27)*100),"")</f>
        <v>0</v>
      </c>
      <c r="H96" s="7">
        <v>3170</v>
      </c>
      <c r="I96" s="5">
        <f>IFERROR(((H96/H27)*100),"")</f>
        <v>1.9468409251019585</v>
      </c>
      <c r="K96" s="5">
        <f>IFERROR(((J96/J27)*100),"")</f>
        <v>0</v>
      </c>
      <c r="M96" s="5">
        <f>IFERROR(((L96/L27)*100),"")</f>
        <v>0</v>
      </c>
      <c r="O96" s="5">
        <f>IFERROR(((N96/N27)*100),"")</f>
        <v>0</v>
      </c>
      <c r="P96" s="7">
        <v>8100</v>
      </c>
      <c r="Q96" s="5">
        <f>IFERROR(((P96/P27)*100),"")</f>
        <v>5.2477637723672981</v>
      </c>
      <c r="S96" s="5">
        <f>IFERROR(((R96/R27)*100),"")</f>
        <v>0</v>
      </c>
      <c r="U96" s="5">
        <f>IFERROR(((T96/T27)*100),"")</f>
        <v>0</v>
      </c>
      <c r="W96" s="20">
        <f>IFERROR(((V96/V27)*100),"")</f>
        <v>0</v>
      </c>
      <c r="X96" s="7">
        <f t="shared" si="4"/>
        <v>13320</v>
      </c>
      <c r="Y96" s="5">
        <f>IFERROR(((X96/X27)*100),"")</f>
        <v>0.79667026757241544</v>
      </c>
    </row>
    <row r="97" spans="1:25" outlineLevel="3" x14ac:dyDescent="0.2">
      <c r="A97" s="14" t="s">
        <v>90</v>
      </c>
      <c r="C97" s="5">
        <f>IFERROR(((B97/B27)*100),"")</f>
        <v>0</v>
      </c>
      <c r="E97" s="5">
        <f>IFERROR(((D97/D27)*100),"")</f>
        <v>0</v>
      </c>
      <c r="G97" s="5">
        <f>IFERROR(((F97/F27)*100),"")</f>
        <v>0</v>
      </c>
      <c r="H97" s="7">
        <v>700</v>
      </c>
      <c r="I97" s="5">
        <f>IFERROR(((H97/H27)*100),"")</f>
        <v>0.42990178156825587</v>
      </c>
      <c r="K97" s="5">
        <f>IFERROR(((J97/J27)*100),"")</f>
        <v>0</v>
      </c>
      <c r="M97" s="5">
        <f>IFERROR(((L97/L27)*100),"")</f>
        <v>0</v>
      </c>
      <c r="O97" s="5">
        <f>IFERROR(((N97/N27)*100),"")</f>
        <v>0</v>
      </c>
      <c r="Q97" s="5">
        <f>IFERROR(((P97/P27)*100),"")</f>
        <v>0</v>
      </c>
      <c r="S97" s="5">
        <f>IFERROR(((R97/R27)*100),"")</f>
        <v>0</v>
      </c>
      <c r="T97" s="7">
        <v>840</v>
      </c>
      <c r="U97" s="5">
        <f>IFERROR(((T97/T27)*100),"")</f>
        <v>0.57796913754894863</v>
      </c>
      <c r="W97" s="20">
        <f>IFERROR(((V97/V27)*100),"")</f>
        <v>0</v>
      </c>
      <c r="X97" s="7">
        <f t="shared" si="4"/>
        <v>1540</v>
      </c>
      <c r="Y97" s="5">
        <f>IFERROR(((X97/X27)*100),"")</f>
        <v>9.2107523428042015E-2</v>
      </c>
    </row>
    <row r="98" spans="1:25" outlineLevel="3" x14ac:dyDescent="0.2">
      <c r="A98" s="14" t="s">
        <v>91</v>
      </c>
      <c r="B98" s="7">
        <v>21.71</v>
      </c>
      <c r="C98" s="5">
        <f>IFERROR(((B98/B27)*100),"")</f>
        <v>1.3275886434483991E-2</v>
      </c>
      <c r="D98" s="7">
        <v>147.59</v>
      </c>
      <c r="E98" s="5">
        <f>IFERROR(((D98/D27)*100),"")</f>
        <v>0.10554806363034279</v>
      </c>
      <c r="G98" s="5">
        <f>IFERROR(((F98/F27)*100),"")</f>
        <v>0</v>
      </c>
      <c r="H98" s="7">
        <v>702.24</v>
      </c>
      <c r="I98" s="5">
        <f>IFERROR(((H98/H27)*100),"")</f>
        <v>0.43127746726927429</v>
      </c>
      <c r="K98" s="5">
        <f>IFERROR(((J98/J27)*100),"")</f>
        <v>0</v>
      </c>
      <c r="M98" s="5">
        <f>IFERROR(((L98/L27)*100),"")</f>
        <v>0</v>
      </c>
      <c r="O98" s="5">
        <f>IFERROR(((N98/N27)*100),"")</f>
        <v>0</v>
      </c>
      <c r="P98" s="7">
        <v>148.07</v>
      </c>
      <c r="Q98" s="5">
        <f>IFERROR(((P98/P27)*100),"")</f>
        <v>9.5930417503015522E-2</v>
      </c>
      <c r="S98" s="5">
        <f>IFERROR(((R98/R27)*100),"")</f>
        <v>0</v>
      </c>
      <c r="T98" s="7">
        <v>860.12</v>
      </c>
      <c r="U98" s="5">
        <f>IFERROR(((T98/T27)*100),"")</f>
        <v>0.59181287451024012</v>
      </c>
      <c r="W98" s="20">
        <f>IFERROR(((V98/V27)*100),"")</f>
        <v>0</v>
      </c>
      <c r="X98" s="7">
        <f t="shared" si="4"/>
        <v>1879.73</v>
      </c>
      <c r="Y98" s="5">
        <f>IFERROR(((X98/X27)*100),"")</f>
        <v>0.11242680195674899</v>
      </c>
    </row>
    <row r="99" spans="1:25" outlineLevel="3" x14ac:dyDescent="0.2">
      <c r="A99" s="14" t="s">
        <v>92</v>
      </c>
      <c r="C99" s="5">
        <f>IFERROR(((B99/B27)*100),"")</f>
        <v>0</v>
      </c>
      <c r="E99" s="5">
        <f>IFERROR(((D99/D27)*100),"")</f>
        <v>0</v>
      </c>
      <c r="G99" s="5">
        <f>IFERROR(((F99/F27)*100),"")</f>
        <v>0</v>
      </c>
      <c r="H99" s="7">
        <v>200</v>
      </c>
      <c r="I99" s="5">
        <f>IFERROR(((H99/H27)*100),"")</f>
        <v>0.12282908044807311</v>
      </c>
      <c r="J99" s="7">
        <v>200</v>
      </c>
      <c r="K99" s="5">
        <f>IFERROR(((J99/J27)*100),"")</f>
        <v>0.12393041852293778</v>
      </c>
      <c r="L99" s="7">
        <v>250</v>
      </c>
      <c r="M99" s="5">
        <f>IFERROR(((L99/L27)*100),"")</f>
        <v>0.16667271133033093</v>
      </c>
      <c r="O99" s="5">
        <f>IFERROR(((N99/N27)*100),"")</f>
        <v>0</v>
      </c>
      <c r="Q99" s="5">
        <f>IFERROR(((P99/P27)*100),"")</f>
        <v>0</v>
      </c>
      <c r="R99" s="7">
        <v>250</v>
      </c>
      <c r="S99" s="5">
        <f>IFERROR(((R99/R27)*100),"")</f>
        <v>0.18831071056334955</v>
      </c>
      <c r="U99" s="5">
        <f>IFERROR(((T99/T27)*100),"")</f>
        <v>0</v>
      </c>
      <c r="W99" s="20">
        <f>IFERROR(((V99/V27)*100),"")</f>
        <v>0</v>
      </c>
      <c r="X99" s="7">
        <f t="shared" si="4"/>
        <v>900</v>
      </c>
      <c r="Y99" s="5">
        <f>IFERROR(((X99/X27)*100),"")</f>
        <v>5.3829072133271316E-2</v>
      </c>
    </row>
    <row r="100" spans="1:25" outlineLevel="3" x14ac:dyDescent="0.2">
      <c r="A100" s="14" t="s">
        <v>93</v>
      </c>
      <c r="B100" s="7">
        <v>377.8</v>
      </c>
      <c r="C100" s="5">
        <f>IFERROR(((B100/B27)*100),"")</f>
        <v>0.23102855342920556</v>
      </c>
      <c r="D100" s="7">
        <v>414.84</v>
      </c>
      <c r="E100" s="5">
        <f>IFERROR(((D100/D27)*100),"")</f>
        <v>0.29667022641379087</v>
      </c>
      <c r="F100" s="7">
        <v>491.92</v>
      </c>
      <c r="G100" s="5">
        <f>IFERROR(((F100/F27)*100),"")</f>
        <v>0.30171313221864099</v>
      </c>
      <c r="H100" s="7">
        <v>422.31</v>
      </c>
      <c r="I100" s="5">
        <f>IFERROR(((H100/H27)*100),"")</f>
        <v>0.25935974482012875</v>
      </c>
      <c r="J100" s="7">
        <v>433.56</v>
      </c>
      <c r="K100" s="5">
        <f>IFERROR(((J100/J27)*100),"")</f>
        <v>0.26865636127402454</v>
      </c>
      <c r="L100" s="7">
        <v>432.47</v>
      </c>
      <c r="M100" s="5">
        <f>IFERROR(((L100/L27)*100),"")</f>
        <v>0.2883237898761129</v>
      </c>
      <c r="N100" s="7">
        <v>819.25</v>
      </c>
      <c r="O100" s="5">
        <f>IFERROR(((N100/N27)*100),"")</f>
        <v>0.57676663603015588</v>
      </c>
      <c r="Q100" s="5">
        <f>IFERROR(((P100/P27)*100),"")</f>
        <v>0</v>
      </c>
      <c r="S100" s="5">
        <f>IFERROR(((R100/R27)*100),"")</f>
        <v>0</v>
      </c>
      <c r="U100" s="5">
        <f>IFERROR(((T100/T27)*100),"")</f>
        <v>0</v>
      </c>
      <c r="W100" s="20">
        <f>IFERROR(((V100/V27)*100),"")</f>
        <v>0</v>
      </c>
      <c r="X100" s="7">
        <f t="shared" si="4"/>
        <v>3392.1499999999996</v>
      </c>
      <c r="Y100" s="5">
        <f>IFERROR(((X100/X27)*100),"")</f>
        <v>0.20288476337430697</v>
      </c>
    </row>
    <row r="101" spans="1:25" outlineLevel="2" x14ac:dyDescent="0.2">
      <c r="A101" s="15" t="s">
        <v>94</v>
      </c>
      <c r="B101" s="10">
        <f>B93+B94+B95+B96+B97+B98+B99+B100</f>
        <v>2773.76</v>
      </c>
      <c r="C101" s="11">
        <f>IFERROR(((B101/B27)*100),"")</f>
        <v>1.6961825313917236</v>
      </c>
      <c r="D101" s="10">
        <f>D93+D94+D95+D96+D97+D98+D99+D100</f>
        <v>997.68000000000006</v>
      </c>
      <c r="E101" s="11">
        <f>IFERROR(((D101/D27)*100),"")</f>
        <v>0.71348460005908521</v>
      </c>
      <c r="F101" s="10">
        <f>F93+F94+F95+F96+F97+F98+F99+F100</f>
        <v>683.17000000000007</v>
      </c>
      <c r="G101" s="11">
        <f>IFERROR(((F101/F27)*100),"")</f>
        <v>0.41901398710727145</v>
      </c>
      <c r="H101" s="10">
        <f>H93+H94+H95+H96+H97+H98+H99+H100</f>
        <v>5402.8</v>
      </c>
      <c r="I101" s="11">
        <f>IFERROR(((H101/H27)*100),"")</f>
        <v>3.3181047792242473</v>
      </c>
      <c r="J101" s="10">
        <f>J93+J94+J95+J96+J97+J98+J99+J100</f>
        <v>2149.77</v>
      </c>
      <c r="K101" s="11">
        <f>IFERROR(((J101/J27)*100),"")</f>
        <v>1.3321094791402799</v>
      </c>
      <c r="L101" s="10">
        <f>L93+L94+L95+L96+L97+L98+L99+L100</f>
        <v>3757.7</v>
      </c>
      <c r="M101" s="11">
        <f>IFERROR(((L101/L27)*100),"")</f>
        <v>2.505224189463938</v>
      </c>
      <c r="N101" s="10">
        <f>N93+N94+N95+N96+N97+N98+N99+N100</f>
        <v>6737.49</v>
      </c>
      <c r="O101" s="11">
        <f>IFERROR(((N101/N27)*100),"")</f>
        <v>4.743313326318968</v>
      </c>
      <c r="P101" s="10">
        <f>P93+P94+P95+P96+P97+P98+P99+P100</f>
        <v>9153.7799999999988</v>
      </c>
      <c r="Q101" s="11">
        <f>IFERROR(((P101/P27)*100),"")</f>
        <v>5.930478402990162</v>
      </c>
      <c r="R101" s="10">
        <f>R93+R94+R95+R96+R97+R98+R99+R100</f>
        <v>980.19</v>
      </c>
      <c r="S101" s="11">
        <f>IFERROR(((R101/R27)*100),"")</f>
        <v>0.7383211015483585</v>
      </c>
      <c r="T101" s="10">
        <f>T93+T94+T95+T96+T97+T98+T99+T100</f>
        <v>2191.36</v>
      </c>
      <c r="U101" s="11">
        <f>IFERROR(((T101/T27)*100),"")</f>
        <v>1.5077838681657905</v>
      </c>
      <c r="V101" s="22">
        <f>V93+V94+V95+V96+V97+V98+V99+V100</f>
        <v>2844.24</v>
      </c>
      <c r="W101" s="23">
        <f>IFERROR(((V101/V27)*100),"")</f>
        <v>1.8132040992549849</v>
      </c>
      <c r="X101" s="12">
        <f t="shared" si="4"/>
        <v>37671.939999999995</v>
      </c>
      <c r="Y101" s="11">
        <f>IFERROR(((X101/X27)*100),"")</f>
        <v>2.2531617507336317</v>
      </c>
    </row>
    <row r="102" spans="1:25" outlineLevel="2" x14ac:dyDescent="0.2">
      <c r="A102" s="8" t="s">
        <v>95</v>
      </c>
      <c r="C102" s="5">
        <f>IFERROR(((B102/B27)*100),"")</f>
        <v>0</v>
      </c>
      <c r="E102" s="5">
        <f>IFERROR(((D102/D27)*100),"")</f>
        <v>0</v>
      </c>
      <c r="G102" s="5">
        <f>IFERROR(((F102/F27)*100),"")</f>
        <v>0</v>
      </c>
      <c r="I102" s="5">
        <f>IFERROR(((H102/H27)*100),"")</f>
        <v>0</v>
      </c>
      <c r="K102" s="5">
        <f>IFERROR(((J102/J27)*100),"")</f>
        <v>0</v>
      </c>
      <c r="M102" s="5">
        <f>IFERROR(((L102/L27)*100),"")</f>
        <v>0</v>
      </c>
      <c r="O102" s="5">
        <f>IFERROR(((N102/N27)*100),"")</f>
        <v>0</v>
      </c>
      <c r="Q102" s="5">
        <f>IFERROR(((P102/P27)*100),"")</f>
        <v>0</v>
      </c>
      <c r="S102" s="5">
        <f>IFERROR(((R102/R27)*100),"")</f>
        <v>0</v>
      </c>
      <c r="U102" s="5">
        <f>IFERROR(((T102/T27)*100),"")</f>
        <v>0</v>
      </c>
      <c r="W102" s="20">
        <f>IFERROR(((V102/V27)*100),"")</f>
        <v>0</v>
      </c>
      <c r="Y102" s="5">
        <f>IFERROR(((X102/X27)*100),"")</f>
        <v>0</v>
      </c>
    </row>
    <row r="103" spans="1:25" outlineLevel="3" x14ac:dyDescent="0.2">
      <c r="A103" s="14" t="s">
        <v>96</v>
      </c>
      <c r="B103" s="7">
        <v>9000</v>
      </c>
      <c r="C103" s="5">
        <f>IFERROR(((B103/B27)*100),"")</f>
        <v>5.5035917968841979</v>
      </c>
      <c r="E103" s="5">
        <f>IFERROR(((D103/D27)*100),"")</f>
        <v>0</v>
      </c>
      <c r="G103" s="5">
        <f>IFERROR(((F103/F27)*100),"")</f>
        <v>0</v>
      </c>
      <c r="H103" s="7">
        <v>150</v>
      </c>
      <c r="I103" s="5">
        <f>IFERROR(((H103/H27)*100),"")</f>
        <v>9.2121810336054835E-2</v>
      </c>
      <c r="K103" s="5">
        <f>IFERROR(((J103/J27)*100),"")</f>
        <v>0</v>
      </c>
      <c r="L103" s="7">
        <v>150</v>
      </c>
      <c r="M103" s="5">
        <f>IFERROR(((L103/L27)*100),"")</f>
        <v>0.10000362679819855</v>
      </c>
      <c r="O103" s="5">
        <f>IFERROR(((N103/N27)*100),"")</f>
        <v>0</v>
      </c>
      <c r="Q103" s="5">
        <f>IFERROR(((P103/P27)*100),"")</f>
        <v>0</v>
      </c>
      <c r="S103" s="5">
        <f>IFERROR(((R103/R27)*100),"")</f>
        <v>0</v>
      </c>
      <c r="U103" s="5">
        <f>IFERROR(((T103/T27)*100),"")</f>
        <v>0</v>
      </c>
      <c r="W103" s="20">
        <f>IFERROR(((V103/V27)*100),"")</f>
        <v>0</v>
      </c>
      <c r="X103" s="7">
        <f t="shared" ref="X103:X116" si="5">B103+D103+F103+H103+J103+L103+N103+P103+R103+T103+V103</f>
        <v>9300</v>
      </c>
      <c r="Y103" s="5">
        <f>IFERROR(((X103/X27)*100),"")</f>
        <v>0.55623374537713688</v>
      </c>
    </row>
    <row r="104" spans="1:25" outlineLevel="3" x14ac:dyDescent="0.2">
      <c r="A104" s="14" t="s">
        <v>97</v>
      </c>
      <c r="C104" s="5">
        <f>IFERROR(((B104/B27)*100),"")</f>
        <v>0</v>
      </c>
      <c r="D104" s="7">
        <v>477.02</v>
      </c>
      <c r="E104" s="5">
        <f>IFERROR(((D104/D27)*100),"")</f>
        <v>0.34113786376411759</v>
      </c>
      <c r="F104" s="7">
        <v>237.98</v>
      </c>
      <c r="G104" s="5">
        <f>IFERROR(((F104/F27)*100),"")</f>
        <v>0.14596213043867332</v>
      </c>
      <c r="H104" s="7">
        <v>318.75</v>
      </c>
      <c r="I104" s="5">
        <f>IFERROR(((H104/H27)*100),"")</f>
        <v>0.1957588469641165</v>
      </c>
      <c r="J104" s="7">
        <v>87.5</v>
      </c>
      <c r="K104" s="5">
        <f>IFERROR(((J104/J27)*100),"")</f>
        <v>5.421955810378528E-2</v>
      </c>
      <c r="L104" s="7">
        <v>120.33</v>
      </c>
      <c r="M104" s="5">
        <f>IFERROR(((L104/L27)*100),"")</f>
        <v>8.0222909417514879E-2</v>
      </c>
      <c r="N104" s="7">
        <v>400</v>
      </c>
      <c r="O104" s="5">
        <f>IFERROR(((N104/N27)*100),"")</f>
        <v>0.28160714606293846</v>
      </c>
      <c r="P104" s="7">
        <v>237.5</v>
      </c>
      <c r="Q104" s="5">
        <f>IFERROR(((P104/P27)*100),"")</f>
        <v>0.15386961678237446</v>
      </c>
      <c r="R104" s="7">
        <v>162.5</v>
      </c>
      <c r="S104" s="5">
        <f>IFERROR(((R104/R27)*100),"")</f>
        <v>0.12240196186617722</v>
      </c>
      <c r="T104" s="7">
        <v>143</v>
      </c>
      <c r="U104" s="5">
        <f>IFERROR(((T104/T27)*100),"")</f>
        <v>9.8392365082737659E-2</v>
      </c>
      <c r="V104" s="21">
        <v>65</v>
      </c>
      <c r="W104" s="20">
        <f>IFERROR(((V104/V27)*100),"")</f>
        <v>4.1437525121499605E-2</v>
      </c>
      <c r="X104" s="7">
        <f t="shared" si="5"/>
        <v>2249.58</v>
      </c>
      <c r="Y104" s="5">
        <f>IFERROR(((X104/X27)*100),"")</f>
        <v>0.13454756009951607</v>
      </c>
    </row>
    <row r="105" spans="1:25" outlineLevel="3" x14ac:dyDescent="0.2">
      <c r="A105" s="14" t="s">
        <v>98</v>
      </c>
      <c r="B105" s="7">
        <v>19.79</v>
      </c>
      <c r="C105" s="5">
        <f>IFERROR(((B105/B27)*100),"")</f>
        <v>1.2101786851148695E-2</v>
      </c>
      <c r="D105" s="7">
        <v>235</v>
      </c>
      <c r="E105" s="5">
        <f>IFERROR(((D105/D27)*100),"")</f>
        <v>0.1680587773774006</v>
      </c>
      <c r="G105" s="5">
        <f>IFERROR(((F105/F27)*100),"")</f>
        <v>0</v>
      </c>
      <c r="H105" s="7">
        <v>309.74</v>
      </c>
      <c r="I105" s="5">
        <f>IFERROR(((H105/H27)*100),"")</f>
        <v>0.19022539688993081</v>
      </c>
      <c r="J105" s="7">
        <v>742.81</v>
      </c>
      <c r="K105" s="5">
        <f>IFERROR(((J105/J27)*100),"")</f>
        <v>0.46028377091511702</v>
      </c>
      <c r="L105" s="7">
        <v>397.02</v>
      </c>
      <c r="M105" s="5">
        <f>IFERROR(((L105/L27)*100),"")</f>
        <v>0.2646895994094719</v>
      </c>
      <c r="N105" s="7">
        <v>105.98</v>
      </c>
      <c r="O105" s="5">
        <f>IFERROR(((N105/N27)*100),"")</f>
        <v>7.4611813349375555E-2</v>
      </c>
      <c r="Q105" s="5">
        <f>IFERROR(((P105/P27)*100),"")</f>
        <v>0</v>
      </c>
      <c r="R105" s="7">
        <v>30.84</v>
      </c>
      <c r="S105" s="5">
        <f>IFERROR(((R105/R27)*100),"")</f>
        <v>2.3230009255094802E-2</v>
      </c>
      <c r="T105" s="7">
        <v>9.7899999999999991</v>
      </c>
      <c r="U105" s="5">
        <f>IFERROR(((T105/T27)*100),"")</f>
        <v>6.7360926864335792E-3</v>
      </c>
      <c r="W105" s="20">
        <f>IFERROR(((V105/V27)*100),"")</f>
        <v>0</v>
      </c>
      <c r="X105" s="7">
        <f t="shared" si="5"/>
        <v>1850.9699999999998</v>
      </c>
      <c r="Y105" s="5">
        <f>IFERROR(((X105/X27)*100),"")</f>
        <v>0.11070666405169019</v>
      </c>
    </row>
    <row r="106" spans="1:25" outlineLevel="2" x14ac:dyDescent="0.2">
      <c r="A106" s="15" t="s">
        <v>99</v>
      </c>
      <c r="B106" s="10">
        <f>B102+B103+B104+B105</f>
        <v>9019.7900000000009</v>
      </c>
      <c r="C106" s="11">
        <f>IFERROR(((B106/B27)*100),"")</f>
        <v>5.5156935837353469</v>
      </c>
      <c r="D106" s="10">
        <f>D102+D103+D104+D105</f>
        <v>712.02</v>
      </c>
      <c r="E106" s="11">
        <f>IFERROR(((D106/D27)*100),"")</f>
        <v>0.50919664114151808</v>
      </c>
      <c r="F106" s="10">
        <f>F102+F103+F104+F105</f>
        <v>237.98</v>
      </c>
      <c r="G106" s="11">
        <f>IFERROR(((F106/F27)*100),"")</f>
        <v>0.14596213043867332</v>
      </c>
      <c r="H106" s="10">
        <f>H102+H103+H104+H105</f>
        <v>778.49</v>
      </c>
      <c r="I106" s="11">
        <f>IFERROR(((H106/H27)*100),"")</f>
        <v>0.47810605419010216</v>
      </c>
      <c r="J106" s="10">
        <f>J102+J103+J104+J105</f>
        <v>830.31</v>
      </c>
      <c r="K106" s="11">
        <f>IFERROR(((J106/J27)*100),"")</f>
        <v>0.51450332901890228</v>
      </c>
      <c r="L106" s="10">
        <f>L102+L103+L104+L105</f>
        <v>667.34999999999991</v>
      </c>
      <c r="M106" s="11">
        <f>IFERROR(((L106/L27)*100),"")</f>
        <v>0.44491613562518528</v>
      </c>
      <c r="N106" s="10">
        <f>N102+N103+N104+N105</f>
        <v>505.98</v>
      </c>
      <c r="O106" s="11">
        <f>IFERROR(((N106/N27)*100),"")</f>
        <v>0.35621895941231402</v>
      </c>
      <c r="P106" s="10">
        <f>P102+P103+P104+P105</f>
        <v>237.5</v>
      </c>
      <c r="Q106" s="11">
        <f>IFERROR(((P106/P27)*100),"")</f>
        <v>0.15386961678237446</v>
      </c>
      <c r="R106" s="10">
        <f>R102+R103+R104+R105</f>
        <v>193.34</v>
      </c>
      <c r="S106" s="11">
        <f>IFERROR(((R106/R27)*100),"")</f>
        <v>0.14563197112127202</v>
      </c>
      <c r="T106" s="10">
        <f>T102+T103+T104+T105</f>
        <v>152.79</v>
      </c>
      <c r="U106" s="11">
        <f>IFERROR(((T106/T27)*100),"")</f>
        <v>0.10512845776917124</v>
      </c>
      <c r="V106" s="22">
        <f>V102+V103+V104+V105</f>
        <v>65</v>
      </c>
      <c r="W106" s="23">
        <f>IFERROR(((V106/V27)*100),"")</f>
        <v>4.1437525121499605E-2</v>
      </c>
      <c r="X106" s="12">
        <f t="shared" si="5"/>
        <v>13400.550000000001</v>
      </c>
      <c r="Y106" s="11">
        <f>IFERROR(((X106/X27)*100),"")</f>
        <v>0.80148796952834322</v>
      </c>
    </row>
    <row r="107" spans="1:25" outlineLevel="2" x14ac:dyDescent="0.2">
      <c r="A107" s="8" t="s">
        <v>100</v>
      </c>
      <c r="C107" s="5">
        <f>IFERROR(((B107/B27)*100),"")</f>
        <v>0</v>
      </c>
      <c r="E107" s="5">
        <f>IFERROR(((D107/D27)*100),"")</f>
        <v>0</v>
      </c>
      <c r="G107" s="5">
        <f>IFERROR(((F107/F27)*100),"")</f>
        <v>0</v>
      </c>
      <c r="I107" s="5">
        <f>IFERROR(((H107/H27)*100),"")</f>
        <v>0</v>
      </c>
      <c r="K107" s="5">
        <f>IFERROR(((J107/J27)*100),"")</f>
        <v>0</v>
      </c>
      <c r="M107" s="5">
        <f>IFERROR(((L107/L27)*100),"")</f>
        <v>0</v>
      </c>
      <c r="O107" s="5">
        <f>IFERROR(((N107/N27)*100),"")</f>
        <v>0</v>
      </c>
      <c r="Q107" s="5">
        <f>IFERROR(((P107/P27)*100),"")</f>
        <v>0</v>
      </c>
      <c r="S107" s="5">
        <f>IFERROR(((R107/R27)*100),"")</f>
        <v>0</v>
      </c>
      <c r="U107" s="5">
        <f>IFERROR(((T107/T27)*100),"")</f>
        <v>0</v>
      </c>
      <c r="V107" s="21">
        <v>100</v>
      </c>
      <c r="W107" s="20">
        <f>IFERROR(((V107/V27)*100),"")</f>
        <v>6.3750038648460933E-2</v>
      </c>
      <c r="X107" s="7">
        <f t="shared" si="5"/>
        <v>100</v>
      </c>
      <c r="Y107" s="5">
        <f>IFERROR(((X107/X27)*100),"")</f>
        <v>5.9810080148079234E-3</v>
      </c>
    </row>
    <row r="108" spans="1:25" outlineLevel="3" x14ac:dyDescent="0.2">
      <c r="A108" s="14" t="s">
        <v>101</v>
      </c>
      <c r="B108" s="7">
        <v>325</v>
      </c>
      <c r="C108" s="5">
        <f>IFERROR(((B108/B27)*100),"")</f>
        <v>0.19874081488748491</v>
      </c>
      <c r="D108" s="7">
        <v>325</v>
      </c>
      <c r="E108" s="5">
        <f>IFERROR(((D108/D27)*100),"")</f>
        <v>0.23242171339427739</v>
      </c>
      <c r="F108" s="7">
        <v>394.64</v>
      </c>
      <c r="G108" s="5">
        <f>IFERROR(((F108/F27)*100),"")</f>
        <v>0.24204763070979929</v>
      </c>
      <c r="H108" s="7">
        <v>410.74</v>
      </c>
      <c r="I108" s="5">
        <f>IFERROR(((H108/H27)*100),"")</f>
        <v>0.25225408251620773</v>
      </c>
      <c r="J108" s="7">
        <v>283.44</v>
      </c>
      <c r="K108" s="5">
        <f>IFERROR(((J108/J27)*100),"")</f>
        <v>0.17563418913070741</v>
      </c>
      <c r="L108" s="7">
        <v>126.85</v>
      </c>
      <c r="M108" s="5">
        <f>IFERROR(((L108/L27)*100),"")</f>
        <v>8.4569733729009902E-2</v>
      </c>
      <c r="N108" s="7">
        <v>60.19</v>
      </c>
      <c r="O108" s="5">
        <f>IFERROR(((N108/N27)*100),"")</f>
        <v>4.237483530382067E-2</v>
      </c>
      <c r="P108" s="7">
        <v>75.19</v>
      </c>
      <c r="Q108" s="5">
        <f>IFERROR(((P108/P27)*100),"")</f>
        <v>4.8713500993123098E-2</v>
      </c>
      <c r="R108" s="7">
        <v>101.15</v>
      </c>
      <c r="S108" s="5">
        <f>IFERROR(((R108/R27)*100),"")</f>
        <v>7.6190513493931245E-2</v>
      </c>
      <c r="T108" s="7">
        <v>326.45</v>
      </c>
      <c r="U108" s="5">
        <f>IFERROR(((T108/T27)*100),"")</f>
        <v>0.22461669637244552</v>
      </c>
      <c r="V108" s="21">
        <v>225.31</v>
      </c>
      <c r="W108" s="20">
        <f>IFERROR(((V108/V27)*100),"")</f>
        <v>0.14363521207884733</v>
      </c>
      <c r="X108" s="7">
        <f t="shared" si="5"/>
        <v>2653.9599999999996</v>
      </c>
      <c r="Y108" s="5">
        <f>IFERROR(((X108/X27)*100),"")</f>
        <v>0.15873356030979632</v>
      </c>
    </row>
    <row r="109" spans="1:25" outlineLevel="3" x14ac:dyDescent="0.2">
      <c r="A109" s="14" t="s">
        <v>102</v>
      </c>
      <c r="B109" s="7">
        <v>2142.66</v>
      </c>
      <c r="C109" s="5">
        <f>IFERROR(((B109/B27)*100),"")</f>
        <v>1.3102584443902103</v>
      </c>
      <c r="D109" s="7">
        <v>2485.96</v>
      </c>
      <c r="E109" s="5">
        <f>IFERROR(((D109/D27)*100),"")</f>
        <v>1.777818715783501</v>
      </c>
      <c r="F109" s="7">
        <v>1686.75</v>
      </c>
      <c r="G109" s="5">
        <f>IFERROR(((F109/F27)*100),"")</f>
        <v>1.0345475397824699</v>
      </c>
      <c r="H109" s="7">
        <v>1880.37</v>
      </c>
      <c r="I109" s="5">
        <f>IFERROR(((H109/H27)*100),"")</f>
        <v>1.1548205900107162</v>
      </c>
      <c r="J109" s="7">
        <v>1841.05</v>
      </c>
      <c r="K109" s="5">
        <f>IFERROR(((J109/J27)*100),"")</f>
        <v>1.140810485108273</v>
      </c>
      <c r="L109" s="7">
        <v>1427.76</v>
      </c>
      <c r="M109" s="5">
        <f>IFERROR(((L109/L27)*100),"")</f>
        <v>0.95187452131597317</v>
      </c>
      <c r="N109" s="7">
        <v>1899.13</v>
      </c>
      <c r="O109" s="5">
        <f>IFERROR(((N109/N27)*100),"")</f>
        <v>1.337021448256271</v>
      </c>
      <c r="P109" s="7">
        <v>1453.04</v>
      </c>
      <c r="Q109" s="5">
        <f>IFERROR(((P109/P27)*100),"")</f>
        <v>0.94138403355562683</v>
      </c>
      <c r="R109" s="7">
        <v>2431.9499999999998</v>
      </c>
      <c r="S109" s="5">
        <f>IFERROR(((R109/R27)*100),"")</f>
        <v>1.831848930218152</v>
      </c>
      <c r="T109" s="7">
        <v>2785.96</v>
      </c>
      <c r="U109" s="5">
        <f>IFERROR(((T109/T27)*100),"")</f>
        <v>1.916903450530796</v>
      </c>
      <c r="V109" s="21">
        <v>1892.1</v>
      </c>
      <c r="W109" s="20">
        <f>IFERROR(((V109/V27)*100),"")</f>
        <v>1.2062144812675293</v>
      </c>
      <c r="X109" s="7">
        <f t="shared" si="5"/>
        <v>21926.73</v>
      </c>
      <c r="Y109" s="5">
        <f>IFERROR(((X109/X27)*100),"")</f>
        <v>1.3114394786852934</v>
      </c>
    </row>
    <row r="110" spans="1:25" outlineLevel="3" x14ac:dyDescent="0.2">
      <c r="A110" s="14" t="s">
        <v>103</v>
      </c>
      <c r="B110" s="7">
        <v>199.52</v>
      </c>
      <c r="C110" s="5">
        <f>IFERROR(((B110/B27)*100),"")</f>
        <v>0.12200851503492612</v>
      </c>
      <c r="D110" s="7">
        <v>193.4</v>
      </c>
      <c r="E110" s="5">
        <f>IFERROR(((D110/D27)*100),"")</f>
        <v>0.13830879806293309</v>
      </c>
      <c r="F110" s="7">
        <v>199.52</v>
      </c>
      <c r="G110" s="5">
        <f>IFERROR(((F110/F27)*100),"")</f>
        <v>0.12237315852224599</v>
      </c>
      <c r="H110" s="7">
        <v>249.4</v>
      </c>
      <c r="I110" s="5">
        <f>IFERROR(((H110/H27)*100),"")</f>
        <v>0.15316786331874718</v>
      </c>
      <c r="J110" s="7">
        <v>199.52</v>
      </c>
      <c r="K110" s="5">
        <f>IFERROR(((J110/J27)*100),"")</f>
        <v>0.12363298551848274</v>
      </c>
      <c r="L110" s="7">
        <v>199.52</v>
      </c>
      <c r="M110" s="5">
        <f>IFERROR(((L110/L27)*100),"")</f>
        <v>0.13301815745851051</v>
      </c>
      <c r="N110" s="7">
        <v>249.4</v>
      </c>
      <c r="O110" s="5">
        <f>IFERROR(((N110/N27)*100),"")</f>
        <v>0.17558205557024215</v>
      </c>
      <c r="P110" s="7">
        <v>199.52</v>
      </c>
      <c r="Q110" s="5">
        <f>IFERROR(((P110/P27)*100),"")</f>
        <v>0.12926343553860781</v>
      </c>
      <c r="R110" s="7">
        <v>249.4</v>
      </c>
      <c r="S110" s="5">
        <f>IFERROR(((R110/R27)*100),"")</f>
        <v>0.18785876485799755</v>
      </c>
      <c r="T110" s="7">
        <v>149.63999999999999</v>
      </c>
      <c r="U110" s="5">
        <f>IFERROR(((T110/T27)*100),"")</f>
        <v>0.10296107350336269</v>
      </c>
      <c r="V110" s="21">
        <v>49.88</v>
      </c>
      <c r="W110" s="20">
        <f>IFERROR(((V110/V27)*100),"")</f>
        <v>3.1798519277852315E-2</v>
      </c>
      <c r="X110" s="7">
        <f t="shared" si="5"/>
        <v>2138.7200000000003</v>
      </c>
      <c r="Y110" s="5">
        <f>IFERROR(((X110/X27)*100),"")</f>
        <v>0.12791701461430002</v>
      </c>
    </row>
    <row r="111" spans="1:25" outlineLevel="3" x14ac:dyDescent="0.2">
      <c r="A111" s="14" t="s">
        <v>104</v>
      </c>
      <c r="B111" s="7">
        <v>60.94</v>
      </c>
      <c r="C111" s="5">
        <f>IFERROR(((B111/B27)*100),"")</f>
        <v>3.7265431566902554E-2</v>
      </c>
      <c r="D111" s="7">
        <v>33.1</v>
      </c>
      <c r="E111" s="5">
        <f>IFERROR(((D111/D27)*100),"")</f>
        <v>2.3671257579540254E-2</v>
      </c>
      <c r="G111" s="5">
        <f>IFERROR(((F111/F27)*100),"")</f>
        <v>0</v>
      </c>
      <c r="H111" s="7">
        <v>362.98</v>
      </c>
      <c r="I111" s="5">
        <f>IFERROR(((H111/H27)*100),"")</f>
        <v>0.22292249810520787</v>
      </c>
      <c r="K111" s="5">
        <f>IFERROR(((J111/J27)*100),"")</f>
        <v>0</v>
      </c>
      <c r="L111" s="7">
        <v>871.76</v>
      </c>
      <c r="M111" s="5">
        <f>IFERROR(((L111/L27)*100),"")</f>
        <v>0.58119441131731708</v>
      </c>
      <c r="O111" s="5">
        <f>IFERROR(((N111/N27)*100),"")</f>
        <v>0</v>
      </c>
      <c r="Q111" s="5">
        <f>IFERROR(((P111/P27)*100),"")</f>
        <v>0</v>
      </c>
      <c r="S111" s="5">
        <f>IFERROR(((R111/R27)*100),"")</f>
        <v>0</v>
      </c>
      <c r="U111" s="5">
        <f>IFERROR(((T111/T27)*100),"")</f>
        <v>0</v>
      </c>
      <c r="W111" s="20">
        <f>IFERROR(((V111/V27)*100),"")</f>
        <v>0</v>
      </c>
      <c r="X111" s="7">
        <f t="shared" si="5"/>
        <v>1328.78</v>
      </c>
      <c r="Y111" s="5">
        <f>IFERROR(((X111/X27)*100),"")</f>
        <v>7.9474438299164715E-2</v>
      </c>
    </row>
    <row r="112" spans="1:25" outlineLevel="3" x14ac:dyDescent="0.2">
      <c r="A112" s="14" t="s">
        <v>105</v>
      </c>
      <c r="B112" s="7">
        <v>275.64</v>
      </c>
      <c r="C112" s="5">
        <f>IFERROR(((B112/B27)*100),"")</f>
        <v>0.16855667143257336</v>
      </c>
      <c r="E112" s="5">
        <f>IFERROR(((D112/D27)*100),"")</f>
        <v>0</v>
      </c>
      <c r="F112" s="7">
        <v>112</v>
      </c>
      <c r="G112" s="5">
        <f>IFERROR(((F112/F27)*100),"")</f>
        <v>6.8693833973995339E-2</v>
      </c>
      <c r="H112" s="7">
        <v>429.9</v>
      </c>
      <c r="I112" s="5">
        <f>IFERROR(((H112/H27)*100),"")</f>
        <v>0.26402110842313309</v>
      </c>
      <c r="K112" s="5">
        <f>IFERROR(((J112/J27)*100),"")</f>
        <v>0</v>
      </c>
      <c r="L112" s="7">
        <v>192.22</v>
      </c>
      <c r="M112" s="5">
        <f>IFERROR(((L112/L27)*100),"")</f>
        <v>0.12815131428766485</v>
      </c>
      <c r="N112" s="7">
        <v>192.01</v>
      </c>
      <c r="O112" s="5">
        <f>IFERROR(((N112/N27)*100),"")</f>
        <v>0.13517847028886204</v>
      </c>
      <c r="Q112" s="5">
        <f>IFERROR(((P112/P27)*100),"")</f>
        <v>0</v>
      </c>
      <c r="R112" s="7">
        <v>210.09</v>
      </c>
      <c r="S112" s="5">
        <f>IFERROR(((R112/R27)*100),"")</f>
        <v>0.15824878872901646</v>
      </c>
      <c r="U112" s="5">
        <f>IFERROR(((T112/T27)*100),"")</f>
        <v>0</v>
      </c>
      <c r="V112" s="21">
        <v>15.54</v>
      </c>
      <c r="W112" s="20">
        <f>IFERROR(((V112/V27)*100),"")</f>
        <v>9.9067560059708272E-3</v>
      </c>
      <c r="X112" s="7">
        <f t="shared" si="5"/>
        <v>1427.3999999999999</v>
      </c>
      <c r="Y112" s="5">
        <f>IFERROR(((X112/X27)*100),"")</f>
        <v>8.5372908403368294E-2</v>
      </c>
    </row>
    <row r="113" spans="1:25" outlineLevel="3" x14ac:dyDescent="0.2">
      <c r="A113" s="14" t="s">
        <v>106</v>
      </c>
      <c r="B113" s="7">
        <v>95.04</v>
      </c>
      <c r="C113" s="5">
        <f>IFERROR(((B113/B27)*100),"")</f>
        <v>5.8117929375097126E-2</v>
      </c>
      <c r="D113" s="7">
        <v>57.88</v>
      </c>
      <c r="E113" s="5">
        <f>IFERROR(((D113/D27)*100),"")</f>
        <v>4.1392519296187008E-2</v>
      </c>
      <c r="G113" s="5">
        <f>IFERROR(((F113/F27)*100),"")</f>
        <v>0</v>
      </c>
      <c r="H113" s="7">
        <v>1359.85</v>
      </c>
      <c r="I113" s="5">
        <f>IFERROR(((H113/H27)*100),"")</f>
        <v>0.835145625236561</v>
      </c>
      <c r="J113" s="7">
        <v>1031.44</v>
      </c>
      <c r="K113" s="5">
        <f>IFERROR(((J113/J27)*100),"")</f>
        <v>0.63913395440649479</v>
      </c>
      <c r="L113" s="7">
        <v>146.41</v>
      </c>
      <c r="M113" s="5">
        <f>IFERROR(((L113/L27)*100),"")</f>
        <v>9.7610206663494986E-2</v>
      </c>
      <c r="N113" s="7">
        <v>373.46</v>
      </c>
      <c r="O113" s="5">
        <f>IFERROR(((N113/N27)*100),"")</f>
        <v>0.26292251192166249</v>
      </c>
      <c r="P113" s="7">
        <v>328.93</v>
      </c>
      <c r="Q113" s="5">
        <f>IFERROR(((P113/P27)*100),"")</f>
        <v>0.21310456020305868</v>
      </c>
      <c r="R113" s="7">
        <v>303.11</v>
      </c>
      <c r="S113" s="5">
        <f>IFERROR(((R113/R27)*100),"")</f>
        <v>0.22831543791542755</v>
      </c>
      <c r="T113" s="7">
        <v>228.81</v>
      </c>
      <c r="U113" s="5">
        <f>IFERROR(((T113/T27)*100),"")</f>
        <v>0.1574346647173511</v>
      </c>
      <c r="V113" s="21">
        <v>60.31</v>
      </c>
      <c r="W113" s="20">
        <f>IFERROR(((V113/V27)*100),"")</f>
        <v>3.8447648308886792E-2</v>
      </c>
      <c r="X113" s="7">
        <f t="shared" si="5"/>
        <v>3985.24</v>
      </c>
      <c r="Y113" s="5">
        <f>IFERROR(((X113/X27)*100),"")</f>
        <v>0.23835752380933126</v>
      </c>
    </row>
    <row r="114" spans="1:25" outlineLevel="3" x14ac:dyDescent="0.2">
      <c r="A114" s="14" t="s">
        <v>107</v>
      </c>
      <c r="C114" s="5">
        <f>IFERROR(((B114/B27)*100),"")</f>
        <v>0</v>
      </c>
      <c r="E114" s="5">
        <f>IFERROR(((D114/D27)*100),"")</f>
        <v>0</v>
      </c>
      <c r="G114" s="5">
        <f>IFERROR(((F114/F27)*100),"")</f>
        <v>0</v>
      </c>
      <c r="H114" s="7">
        <v>574.63</v>
      </c>
      <c r="I114" s="5">
        <f>IFERROR(((H114/H27)*100),"")</f>
        <v>0.35290637248938123</v>
      </c>
      <c r="K114" s="5">
        <f>IFERROR(((J114/J27)*100),"")</f>
        <v>0</v>
      </c>
      <c r="M114" s="5">
        <f>IFERROR(((L114/L27)*100),"")</f>
        <v>0</v>
      </c>
      <c r="O114" s="5">
        <f>IFERROR(((N114/N27)*100),"")</f>
        <v>0</v>
      </c>
      <c r="P114" s="7">
        <v>179.28</v>
      </c>
      <c r="Q114" s="5">
        <f>IFERROR(((P114/P27)*100),"")</f>
        <v>0.11615050482839619</v>
      </c>
      <c r="S114" s="5">
        <f>IFERROR(((R114/R27)*100),"")</f>
        <v>0</v>
      </c>
      <c r="U114" s="5">
        <f>IFERROR(((T114/T27)*100),"")</f>
        <v>0</v>
      </c>
      <c r="W114" s="20">
        <f>IFERROR(((V114/V27)*100),"")</f>
        <v>0</v>
      </c>
      <c r="X114" s="7">
        <f t="shared" si="5"/>
        <v>753.91</v>
      </c>
      <c r="Y114" s="5">
        <f>IFERROR(((X114/X27)*100),"")</f>
        <v>4.5091417524438411E-2</v>
      </c>
    </row>
    <row r="115" spans="1:25" ht="25.5" outlineLevel="2" x14ac:dyDescent="0.2">
      <c r="A115" s="15" t="s">
        <v>108</v>
      </c>
      <c r="B115" s="10">
        <f>B107+B108+B109+B110+B111+B112+B113+B114</f>
        <v>3098.7999999999997</v>
      </c>
      <c r="C115" s="11">
        <f>IFERROR(((B115/B27)*100),"")</f>
        <v>1.8949478066871945</v>
      </c>
      <c r="D115" s="10">
        <f>D107+D108+D109+D110+D111+D112+D113+D114</f>
        <v>3095.34</v>
      </c>
      <c r="E115" s="11">
        <f>IFERROR(((D115/D27)*100),"")</f>
        <v>2.2136130041164388</v>
      </c>
      <c r="F115" s="10">
        <f>F107+F108+F109+F110+F111+F112+F113+F114</f>
        <v>2392.91</v>
      </c>
      <c r="G115" s="11">
        <f>IFERROR(((F115/F27)*100),"")</f>
        <v>1.4676621629885107</v>
      </c>
      <c r="H115" s="10">
        <f>H107+H108+H109+H110+H111+H112+H113+H114</f>
        <v>5267.87</v>
      </c>
      <c r="I115" s="11">
        <f>IFERROR(((H115/H27)*100),"")</f>
        <v>3.2352381400999546</v>
      </c>
      <c r="J115" s="10">
        <f>J107+J108+J109+J110+J111+J112+J113+J114</f>
        <v>3355.45</v>
      </c>
      <c r="K115" s="11">
        <f>IFERROR(((J115/J27)*100),"")</f>
        <v>2.0792116141639578</v>
      </c>
      <c r="L115" s="10">
        <f>L107+L108+L109+L110+L111+L112+L113+L114</f>
        <v>2964.5199999999995</v>
      </c>
      <c r="M115" s="11">
        <f>IFERROR(((L115/L27)*100),"")</f>
        <v>1.9764183447719703</v>
      </c>
      <c r="N115" s="10">
        <f>N107+N108+N109+N110+N111+N112+N113+N114</f>
        <v>2774.1900000000005</v>
      </c>
      <c r="O115" s="11">
        <f>IFERROR(((N115/N27)*100),"")</f>
        <v>1.9530793213408586</v>
      </c>
      <c r="P115" s="10">
        <f>P107+P108+P109+P110+P111+P112+P113+P114</f>
        <v>2235.96</v>
      </c>
      <c r="Q115" s="11">
        <f>IFERROR(((P115/P27)*100),"")</f>
        <v>1.4486160351188127</v>
      </c>
      <c r="R115" s="10">
        <f>R107+R108+R109+R110+R111+R112+R113+R114</f>
        <v>3295.7000000000003</v>
      </c>
      <c r="S115" s="11">
        <f>IFERROR(((R115/R27)*100),"")</f>
        <v>2.4824624352145253</v>
      </c>
      <c r="T115" s="10">
        <f>T107+T108+T109+T110+T111+T112+T113+T114</f>
        <v>3490.8599999999997</v>
      </c>
      <c r="U115" s="11">
        <f>IFERROR(((T115/T27)*100),"")</f>
        <v>2.4019158851239553</v>
      </c>
      <c r="V115" s="22">
        <f>V107+V108+V109+V110+V111+V112+V113+V114</f>
        <v>2343.14</v>
      </c>
      <c r="W115" s="23">
        <f>IFERROR(((V115/V27)*100),"")</f>
        <v>1.4937526555875473</v>
      </c>
      <c r="X115" s="12">
        <f t="shared" si="5"/>
        <v>34314.740000000005</v>
      </c>
      <c r="Y115" s="11">
        <f>IFERROR(((X115/X27)*100),"")</f>
        <v>2.0523673496605008</v>
      </c>
    </row>
    <row r="116" spans="1:25" outlineLevel="1" x14ac:dyDescent="0.2">
      <c r="A116" s="9" t="s">
        <v>109</v>
      </c>
      <c r="B116" s="10">
        <f>B65+B66+B67+B68+B83+B86+B92+B101+B106+B115</f>
        <v>36402.870000000003</v>
      </c>
      <c r="C116" s="11">
        <f>IFERROR(((B116/B27)*100),"")</f>
        <v>22.260726301671315</v>
      </c>
      <c r="D116" s="10">
        <f>D65+D66+D67+D68+D83+D86+D92+D101+D106+D115</f>
        <v>24524.86</v>
      </c>
      <c r="E116" s="11">
        <f>IFERROR(((D116/D27)*100),"")</f>
        <v>17.538799944476242</v>
      </c>
      <c r="F116" s="10">
        <f>F65+F66+F67+F68+F83+F86+F92+F101+F106+F115</f>
        <v>25439.010000000002</v>
      </c>
      <c r="G116" s="11">
        <f>IFERROR(((F116/F27)*100),"")</f>
        <v>15.602706512525067</v>
      </c>
      <c r="H116" s="10">
        <f>H65+H66+H67+H68+H83+H86+H92+H101+H106+H115</f>
        <v>35078.100000000006</v>
      </c>
      <c r="I116" s="11">
        <f>IFERROR(((H116/H27)*100),"")</f>
        <v>21.543053834327768</v>
      </c>
      <c r="J116" s="10">
        <f>J65+J66+J67+J68+J83+J86+J92+J101+J106+J115</f>
        <v>28199.520000000004</v>
      </c>
      <c r="K116" s="11">
        <f>IFERROR(((J116/J27)*100),"")</f>
        <v>17.473891578729773</v>
      </c>
      <c r="L116" s="10">
        <f>L65+L66+L67+L68+L83+L86+L92+L101+L106+L115</f>
        <v>27967.31</v>
      </c>
      <c r="M116" s="11">
        <f>IFERROR(((L116/L27)*100),"")</f>
        <v>18.64554954526351</v>
      </c>
      <c r="N116" s="10">
        <f>N65+N66+N67+N68+N83+N86+N92+N101+N106+N115</f>
        <v>30267.89</v>
      </c>
      <c r="O116" s="11">
        <f>IFERROR(((N116/N27)*100),"")</f>
        <v>21.309135300617388</v>
      </c>
      <c r="P116" s="10">
        <f>P65+P66+P67+P68+P83+P86+P92+P101+P106+P115</f>
        <v>34599.32</v>
      </c>
      <c r="Q116" s="11">
        <f>IFERROR(((P116/P27)*100),"")</f>
        <v>22.415933091918923</v>
      </c>
      <c r="R116" s="10">
        <f>R65+R66+R67+R68+R83+R86+R92+R101+R106+R115</f>
        <v>25445.599999999999</v>
      </c>
      <c r="S116" s="11">
        <f>IFERROR(((R116/R27)*100),"")</f>
        <v>19.166716066843069</v>
      </c>
      <c r="T116" s="10">
        <f>T65+T66+T67+T68+T83+T86+T92+T101+T106+T115</f>
        <v>31522.560000000001</v>
      </c>
      <c r="U116" s="11">
        <f>IFERROR(((T116/T27)*100),"")</f>
        <v>21.689365257779745</v>
      </c>
      <c r="V116" s="22">
        <f>V65+V66+V67+V68+V83+V86+V92+V101+V106+V115</f>
        <v>29316.97</v>
      </c>
      <c r="W116" s="23">
        <f>IFERROR(((V116/V27)*100),"")</f>
        <v>18.689579705557698</v>
      </c>
      <c r="X116" s="12">
        <f t="shared" si="5"/>
        <v>328764.01</v>
      </c>
      <c r="Y116" s="11">
        <f>IFERROR(((X116/X27)*100),"")</f>
        <v>19.663401787903922</v>
      </c>
    </row>
    <row r="117" spans="1:25" outlineLevel="1" x14ac:dyDescent="0.2">
      <c r="A117" s="6" t="s">
        <v>110</v>
      </c>
      <c r="C117" s="5">
        <f>IFERROR(((B117/B27)*100),"")</f>
        <v>0</v>
      </c>
      <c r="E117" s="5">
        <f>IFERROR(((D117/D27)*100),"")</f>
        <v>0</v>
      </c>
      <c r="G117" s="5">
        <f>IFERROR(((F117/F27)*100),"")</f>
        <v>0</v>
      </c>
      <c r="I117" s="5">
        <f>IFERROR(((H117/H27)*100),"")</f>
        <v>0</v>
      </c>
      <c r="K117" s="5">
        <f>IFERROR(((J117/J27)*100),"")</f>
        <v>0</v>
      </c>
      <c r="M117" s="5">
        <f>IFERROR(((L117/L27)*100),"")</f>
        <v>0</v>
      </c>
      <c r="O117" s="5">
        <f>IFERROR(((N117/N27)*100),"")</f>
        <v>0</v>
      </c>
      <c r="Q117" s="5">
        <f>IFERROR(((P117/P27)*100),"")</f>
        <v>0</v>
      </c>
      <c r="S117" s="5">
        <f>IFERROR(((R117/R27)*100),"")</f>
        <v>0</v>
      </c>
      <c r="U117" s="5">
        <f>IFERROR(((T117/T27)*100),"")</f>
        <v>0</v>
      </c>
      <c r="W117" s="20">
        <f>IFERROR(((V117/V27)*100),"")</f>
        <v>0</v>
      </c>
      <c r="Y117" s="5">
        <f>IFERROR(((X117/X27)*100),"")</f>
        <v>0</v>
      </c>
    </row>
    <row r="118" spans="1:25" outlineLevel="2" x14ac:dyDescent="0.2">
      <c r="A118" s="8" t="s">
        <v>111</v>
      </c>
      <c r="C118" s="5">
        <f>IFERROR(((B118/B27)*100),"")</f>
        <v>0</v>
      </c>
      <c r="E118" s="5">
        <f>IFERROR(((D118/D27)*100),"")</f>
        <v>0</v>
      </c>
      <c r="G118" s="5">
        <f>IFERROR(((F118/F27)*100),"")</f>
        <v>0</v>
      </c>
      <c r="I118" s="5">
        <f>IFERROR(((H118/H27)*100),"")</f>
        <v>0</v>
      </c>
      <c r="K118" s="5">
        <f>IFERROR(((J118/J27)*100),"")</f>
        <v>0</v>
      </c>
      <c r="M118" s="5">
        <f>IFERROR(((L118/L27)*100),"")</f>
        <v>0</v>
      </c>
      <c r="O118" s="5">
        <f>IFERROR(((N118/N27)*100),"")</f>
        <v>0</v>
      </c>
      <c r="Q118" s="5">
        <f>IFERROR(((P118/P27)*100),"")</f>
        <v>0</v>
      </c>
      <c r="S118" s="5">
        <f>IFERROR(((R118/R27)*100),"")</f>
        <v>0</v>
      </c>
      <c r="U118" s="5">
        <f>IFERROR(((T118/T27)*100),"")</f>
        <v>0</v>
      </c>
      <c r="W118" s="20">
        <f>IFERROR(((V118/V27)*100),"")</f>
        <v>0</v>
      </c>
      <c r="Y118" s="5">
        <f>IFERROR(((X118/X27)*100),"")</f>
        <v>0</v>
      </c>
    </row>
    <row r="119" spans="1:25" outlineLevel="3" x14ac:dyDescent="0.2">
      <c r="A119" s="14" t="s">
        <v>112</v>
      </c>
      <c r="B119" s="7">
        <v>350</v>
      </c>
      <c r="C119" s="5">
        <f>IFERROR(((B119/B27)*100),"")</f>
        <v>0.2140285698788299</v>
      </c>
      <c r="D119" s="7">
        <v>350</v>
      </c>
      <c r="E119" s="5">
        <f>IFERROR(((D119/D27)*100),"")</f>
        <v>0.25030030673229875</v>
      </c>
      <c r="F119" s="7">
        <v>350</v>
      </c>
      <c r="G119" s="5">
        <f>IFERROR(((F119/F27)*100),"")</f>
        <v>0.21466823116873543</v>
      </c>
      <c r="H119" s="7">
        <v>350</v>
      </c>
      <c r="I119" s="5">
        <f>IFERROR(((H119/H27)*100),"")</f>
        <v>0.21495089078412793</v>
      </c>
      <c r="J119" s="7">
        <v>350</v>
      </c>
      <c r="K119" s="5">
        <f>IFERROR(((J119/J27)*100),"")</f>
        <v>0.21687823241514112</v>
      </c>
      <c r="L119" s="7">
        <v>350</v>
      </c>
      <c r="M119" s="5">
        <f>IFERROR(((L119/L27)*100),"")</f>
        <v>0.23334179586246329</v>
      </c>
      <c r="N119" s="7">
        <v>350</v>
      </c>
      <c r="O119" s="5">
        <f>IFERROR(((N119/N27)*100),"")</f>
        <v>0.24640625280507117</v>
      </c>
      <c r="P119" s="7">
        <v>350</v>
      </c>
      <c r="Q119" s="5">
        <f>IFERROR(((P119/P27)*100),"")</f>
        <v>0.22675522473192028</v>
      </c>
      <c r="R119" s="7">
        <v>350</v>
      </c>
      <c r="S119" s="5">
        <f>IFERROR(((R119/R27)*100),"")</f>
        <v>0.2636349947886894</v>
      </c>
      <c r="T119" s="7">
        <v>350</v>
      </c>
      <c r="U119" s="5">
        <f>IFERROR(((T119/T27)*100),"")</f>
        <v>0.24082047397872858</v>
      </c>
      <c r="V119" s="21">
        <v>350</v>
      </c>
      <c r="W119" s="20">
        <f>IFERROR(((V119/V27)*100),"")</f>
        <v>0.22312513526961328</v>
      </c>
      <c r="X119" s="7">
        <f t="shared" ref="X119:X125" si="6">B119+D119+F119+H119+J119+L119+N119+P119+R119+T119+V119</f>
        <v>3850</v>
      </c>
      <c r="Y119" s="5">
        <f>IFERROR(((X119/X27)*100),"")</f>
        <v>0.23026880857010507</v>
      </c>
    </row>
    <row r="120" spans="1:25" outlineLevel="3" x14ac:dyDescent="0.2">
      <c r="A120" s="14" t="s">
        <v>113</v>
      </c>
      <c r="B120" s="7">
        <v>20</v>
      </c>
      <c r="C120" s="5">
        <f>IFERROR(((B120/B27)*100),"")</f>
        <v>1.2230203993075995E-2</v>
      </c>
      <c r="D120" s="7">
        <v>25</v>
      </c>
      <c r="E120" s="5">
        <f>IFERROR(((D120/D27)*100),"")</f>
        <v>1.7878593338021338E-2</v>
      </c>
      <c r="F120" s="7">
        <v>4</v>
      </c>
      <c r="G120" s="5">
        <f>IFERROR(((F120/F27)*100),"")</f>
        <v>2.4533512133569765E-3</v>
      </c>
      <c r="I120" s="5">
        <f>IFERROR(((H120/H27)*100),"")</f>
        <v>0</v>
      </c>
      <c r="J120" s="7">
        <v>25</v>
      </c>
      <c r="K120" s="5">
        <f>IFERROR(((J120/J27)*100),"")</f>
        <v>1.5491302315367222E-2</v>
      </c>
      <c r="L120" s="7">
        <v>30</v>
      </c>
      <c r="M120" s="5">
        <f>IFERROR(((L120/L27)*100),"")</f>
        <v>2.0000725359639711E-2</v>
      </c>
      <c r="O120" s="5">
        <f>IFERROR(((N120/N27)*100),"")</f>
        <v>0</v>
      </c>
      <c r="P120" s="7">
        <v>84</v>
      </c>
      <c r="Q120" s="5">
        <f>IFERROR(((P120/P27)*100),"")</f>
        <v>5.4421253935660864E-2</v>
      </c>
      <c r="R120" s="7">
        <v>61.2</v>
      </c>
      <c r="S120" s="5">
        <f>IFERROR(((R120/R27)*100),"")</f>
        <v>4.6098461945907977E-2</v>
      </c>
      <c r="T120" s="7">
        <v>39.6</v>
      </c>
      <c r="U120" s="5">
        <f>IFERROR(((T120/T27)*100),"")</f>
        <v>2.7247116484450436E-2</v>
      </c>
      <c r="V120" s="21">
        <v>24</v>
      </c>
      <c r="W120" s="20">
        <f>IFERROR(((V120/V27)*100),"")</f>
        <v>1.5300009275630626E-2</v>
      </c>
      <c r="X120" s="7">
        <f t="shared" si="6"/>
        <v>312.8</v>
      </c>
      <c r="Y120" s="5">
        <f>IFERROR(((X120/X27)*100),"")</f>
        <v>1.8708593070319184E-2</v>
      </c>
    </row>
    <row r="121" spans="1:25" outlineLevel="3" x14ac:dyDescent="0.2">
      <c r="A121" s="14" t="s">
        <v>114</v>
      </c>
      <c r="C121" s="5">
        <f>IFERROR(((B121/B27)*100),"")</f>
        <v>0</v>
      </c>
      <c r="E121" s="5">
        <f>IFERROR(((D121/D27)*100),"")</f>
        <v>0</v>
      </c>
      <c r="G121" s="5">
        <f>IFERROR(((F121/F27)*100),"")</f>
        <v>0</v>
      </c>
      <c r="I121" s="5">
        <f>IFERROR(((H121/H27)*100),"")</f>
        <v>0</v>
      </c>
      <c r="K121" s="5">
        <f>IFERROR(((J121/J27)*100),"")</f>
        <v>0</v>
      </c>
      <c r="M121" s="5">
        <f>IFERROR(((L121/L27)*100),"")</f>
        <v>0</v>
      </c>
      <c r="O121" s="5">
        <f>IFERROR(((N121/N27)*100),"")</f>
        <v>0</v>
      </c>
      <c r="Q121" s="5">
        <f>IFERROR(((P121/P27)*100),"")</f>
        <v>0</v>
      </c>
      <c r="S121" s="5">
        <f>IFERROR(((R121/R27)*100),"")</f>
        <v>0</v>
      </c>
      <c r="T121" s="7">
        <v>100</v>
      </c>
      <c r="U121" s="5">
        <f>IFERROR(((T121/T27)*100),"")</f>
        <v>6.8805849708208161E-2</v>
      </c>
      <c r="W121" s="20">
        <f>IFERROR(((V121/V27)*100),"")</f>
        <v>0</v>
      </c>
      <c r="X121" s="7">
        <f t="shared" si="6"/>
        <v>100</v>
      </c>
      <c r="Y121" s="5">
        <f>IFERROR(((X121/X27)*100),"")</f>
        <v>5.9810080148079234E-3</v>
      </c>
    </row>
    <row r="122" spans="1:25" outlineLevel="3" x14ac:dyDescent="0.2">
      <c r="A122" s="14" t="s">
        <v>115</v>
      </c>
      <c r="B122" s="7">
        <v>125</v>
      </c>
      <c r="C122" s="5">
        <f>IFERROR(((B122/B27)*100),"")</f>
        <v>7.6438774956724964E-2</v>
      </c>
      <c r="D122" s="7">
        <v>221.13</v>
      </c>
      <c r="E122" s="5">
        <f>IFERROR(((D122/D27)*100),"")</f>
        <v>0.15813973379346635</v>
      </c>
      <c r="F122" s="7">
        <v>284.8</v>
      </c>
      <c r="G122" s="5">
        <f>IFERROR(((F122/F27)*100),"")</f>
        <v>0.17467860639101676</v>
      </c>
      <c r="H122" s="7">
        <v>475</v>
      </c>
      <c r="I122" s="5">
        <f>IFERROR(((H122/H27)*100),"")</f>
        <v>0.29171906606417364</v>
      </c>
      <c r="J122" s="7">
        <v>1078.25</v>
      </c>
      <c r="K122" s="5">
        <f>IFERROR(((J122/J27)*100),"")</f>
        <v>0.66813986886178833</v>
      </c>
      <c r="L122" s="7">
        <v>231.43</v>
      </c>
      <c r="M122" s="5">
        <f>IFERROR(((L122/L27)*100),"")</f>
        <v>0.15429226233271395</v>
      </c>
      <c r="N122" s="7">
        <v>257.73</v>
      </c>
      <c r="O122" s="5">
        <f>IFERROR(((N122/N27)*100),"")</f>
        <v>0.18144652438700284</v>
      </c>
      <c r="P122" s="7">
        <v>211.32</v>
      </c>
      <c r="Q122" s="5">
        <f>IFERROR(((P122/P27)*100),"")</f>
        <v>0.13690832597242683</v>
      </c>
      <c r="R122" s="7">
        <v>147.02000000000001</v>
      </c>
      <c r="S122" s="5">
        <f>IFERROR(((R122/R27)*100),"")</f>
        <v>0.11074176266809461</v>
      </c>
      <c r="T122" s="7">
        <v>177.04</v>
      </c>
      <c r="U122" s="5">
        <f>IFERROR(((T122/T27)*100),"")</f>
        <v>0.12181387632341173</v>
      </c>
      <c r="V122" s="21">
        <v>170.32</v>
      </c>
      <c r="W122" s="20">
        <f>IFERROR(((V122/V27)*100),"")</f>
        <v>0.10857906582605865</v>
      </c>
      <c r="X122" s="7">
        <f t="shared" si="6"/>
        <v>3379.0400000000004</v>
      </c>
      <c r="Y122" s="5">
        <f>IFERROR(((X122/X27)*100),"")</f>
        <v>0.20210065322356566</v>
      </c>
    </row>
    <row r="123" spans="1:25" outlineLevel="3" x14ac:dyDescent="0.2">
      <c r="A123" s="14" t="s">
        <v>116</v>
      </c>
      <c r="C123" s="5">
        <f>IFERROR(((B123/B27)*100),"")</f>
        <v>0</v>
      </c>
      <c r="E123" s="5">
        <f>IFERROR(((D123/D27)*100),"")</f>
        <v>0</v>
      </c>
      <c r="G123" s="5">
        <f>IFERROR(((F123/F27)*100),"")</f>
        <v>0</v>
      </c>
      <c r="I123" s="5">
        <f>IFERROR(((H123/H27)*100),"")</f>
        <v>0</v>
      </c>
      <c r="J123" s="7">
        <v>250</v>
      </c>
      <c r="K123" s="5">
        <f>IFERROR(((J123/J27)*100),"")</f>
        <v>0.15491302315367222</v>
      </c>
      <c r="M123" s="5">
        <f>IFERROR(((L123/L27)*100),"")</f>
        <v>0</v>
      </c>
      <c r="N123" s="7">
        <v>193.43</v>
      </c>
      <c r="O123" s="5">
        <f>IFERROR(((N123/N27)*100),"")</f>
        <v>0.13617817565738549</v>
      </c>
      <c r="P123" s="7">
        <v>67.72</v>
      </c>
      <c r="Q123" s="5">
        <f>IFERROR(((P123/P27)*100),"")</f>
        <v>4.3873896625273259E-2</v>
      </c>
      <c r="R123" s="7">
        <v>74.8</v>
      </c>
      <c r="S123" s="5">
        <f>IFERROR(((R123/R27)*100),"")</f>
        <v>5.6342564600554194E-2</v>
      </c>
      <c r="U123" s="5">
        <f>IFERROR(((T123/T27)*100),"")</f>
        <v>0</v>
      </c>
      <c r="V123" s="21">
        <v>172.9</v>
      </c>
      <c r="W123" s="20">
        <f>IFERROR(((V123/V27)*100),"")</f>
        <v>0.11022381682318895</v>
      </c>
      <c r="X123" s="7">
        <f t="shared" si="6"/>
        <v>758.84999999999991</v>
      </c>
      <c r="Y123" s="5">
        <f>IFERROR(((X123/X27)*100),"")</f>
        <v>4.5386879320369916E-2</v>
      </c>
    </row>
    <row r="124" spans="1:25" outlineLevel="3" x14ac:dyDescent="0.2">
      <c r="A124" s="14" t="s">
        <v>117</v>
      </c>
      <c r="B124" s="7">
        <v>7.36</v>
      </c>
      <c r="C124" s="5">
        <f>IFERROR(((B124/B27)*100),"")</f>
        <v>4.5007150694519656E-3</v>
      </c>
      <c r="D124" s="7">
        <v>-2.0499999999999998</v>
      </c>
      <c r="E124" s="5">
        <f>IFERROR(((D124/D27)*100),"")</f>
        <v>-1.4660446537177498E-3</v>
      </c>
      <c r="F124" s="7">
        <v>0.92</v>
      </c>
      <c r="G124" s="5">
        <f>IFERROR(((F124/F27)*100),"")</f>
        <v>5.6427077907210464E-4</v>
      </c>
      <c r="H124" s="7">
        <v>-4.74</v>
      </c>
      <c r="I124" s="5">
        <f>IFERROR(((H124/H27)*100),"")</f>
        <v>-2.9110492066193329E-3</v>
      </c>
      <c r="J124" s="7">
        <v>62.49</v>
      </c>
      <c r="K124" s="5">
        <f>IFERROR(((J124/J27)*100),"")</f>
        <v>3.8722059267491907E-2</v>
      </c>
      <c r="L124" s="7">
        <v>7.56</v>
      </c>
      <c r="M124" s="5">
        <f>IFERROR(((L124/L27)*100),"")</f>
        <v>5.0401827906292069E-3</v>
      </c>
      <c r="N124" s="7">
        <v>-5.98</v>
      </c>
      <c r="O124" s="5">
        <f>IFERROR(((N124/N27)*100),"")</f>
        <v>-4.210026833640931E-3</v>
      </c>
      <c r="P124" s="7">
        <v>-6.56</v>
      </c>
      <c r="Q124" s="5">
        <f>IFERROR(((P124/P27)*100),"")</f>
        <v>-4.2500407835468481E-3</v>
      </c>
      <c r="R124" s="7">
        <v>-21.76</v>
      </c>
      <c r="S124" s="5">
        <f>IFERROR(((R124/R27)*100),"")</f>
        <v>-1.6390564247433948E-2</v>
      </c>
      <c r="T124" s="7">
        <v>-11.34</v>
      </c>
      <c r="U124" s="5">
        <f>IFERROR(((T124/T27)*100),"")</f>
        <v>-7.8025833569108048E-3</v>
      </c>
      <c r="V124" s="21">
        <v>0.1</v>
      </c>
      <c r="W124" s="20">
        <f>IFERROR(((V124/V27)*100),"")</f>
        <v>6.3750038648460928E-5</v>
      </c>
      <c r="X124" s="7">
        <f t="shared" si="6"/>
        <v>25.999999999999996</v>
      </c>
      <c r="Y124" s="5">
        <f>IFERROR(((X124/X27)*100),"")</f>
        <v>1.55506208385006E-3</v>
      </c>
    </row>
    <row r="125" spans="1:25" outlineLevel="2" x14ac:dyDescent="0.2">
      <c r="A125" s="15" t="s">
        <v>118</v>
      </c>
      <c r="B125" s="10">
        <f>B118+B119+B120+B121+B122+B123+B124</f>
        <v>502.36</v>
      </c>
      <c r="C125" s="11">
        <f>IFERROR(((B125/B27)*100),"")</f>
        <v>0.30719826389808286</v>
      </c>
      <c r="D125" s="10">
        <f>D118+D119+D120+D121+D122+D123+D124</f>
        <v>594.08000000000004</v>
      </c>
      <c r="E125" s="11">
        <f>IFERROR(((D125/D27)*100),"")</f>
        <v>0.42485258921006869</v>
      </c>
      <c r="F125" s="10">
        <f>F118+F119+F120+F121+F122+F123+F124</f>
        <v>639.71999999999991</v>
      </c>
      <c r="G125" s="11">
        <f>IFERROR(((F125/F27)*100),"")</f>
        <v>0.39236445955218119</v>
      </c>
      <c r="H125" s="10">
        <f>H118+H119+H120+H121+H122+H123+H124</f>
        <v>820.26</v>
      </c>
      <c r="I125" s="11">
        <f>IFERROR(((H125/H27)*100),"")</f>
        <v>0.50375890764168219</v>
      </c>
      <c r="J125" s="10">
        <f>J118+J119+J120+J121+J122+J123+J124</f>
        <v>1765.74</v>
      </c>
      <c r="K125" s="11">
        <f>IFERROR(((J125/J27)*100),"")</f>
        <v>1.0941444860134608</v>
      </c>
      <c r="L125" s="10">
        <f>L118+L119+L120+L121+L122+L123+L124</f>
        <v>618.99</v>
      </c>
      <c r="M125" s="11">
        <f>IFERROR(((L125/L27)*100),"")</f>
        <v>0.41267496634544615</v>
      </c>
      <c r="N125" s="10">
        <f>N118+N119+N120+N121+N122+N123+N124</f>
        <v>795.18000000000006</v>
      </c>
      <c r="O125" s="11">
        <f>IFERROR(((N125/N27)*100),"")</f>
        <v>0.55982092601581857</v>
      </c>
      <c r="P125" s="10">
        <f>P118+P119+P120+P121+P122+P123+P124</f>
        <v>706.48</v>
      </c>
      <c r="Q125" s="11">
        <f>IFERROR(((P125/P27)*100),"")</f>
        <v>0.45770866048173442</v>
      </c>
      <c r="R125" s="10">
        <f>R118+R119+R120+R121+R122+R123+R124</f>
        <v>611.26</v>
      </c>
      <c r="S125" s="11">
        <f>IFERROR(((R125/R27)*100),"")</f>
        <v>0.46042721975581224</v>
      </c>
      <c r="T125" s="10">
        <f>T118+T119+T120+T121+T122+T123+T124</f>
        <v>655.29999999999995</v>
      </c>
      <c r="U125" s="11">
        <f>IFERROR(((T125/T27)*100),"")</f>
        <v>0.45088473313788807</v>
      </c>
      <c r="V125" s="22">
        <f>V118+V119+V120+V121+V122+V123+V124</f>
        <v>717.31999999999994</v>
      </c>
      <c r="W125" s="23">
        <f>IFERROR(((V125/V27)*100),"")</f>
        <v>0.45729177723313996</v>
      </c>
      <c r="X125" s="12">
        <f t="shared" si="6"/>
        <v>8426.69</v>
      </c>
      <c r="Y125" s="11">
        <f>IFERROR(((X125/X27)*100),"")</f>
        <v>0.50400100428301775</v>
      </c>
    </row>
    <row r="126" spans="1:25" outlineLevel="2" x14ac:dyDescent="0.2">
      <c r="A126" s="8" t="s">
        <v>119</v>
      </c>
      <c r="C126" s="5">
        <f>IFERROR(((B126/B27)*100),"")</f>
        <v>0</v>
      </c>
      <c r="E126" s="5">
        <f>IFERROR(((D126/D27)*100),"")</f>
        <v>0</v>
      </c>
      <c r="G126" s="5">
        <f>IFERROR(((F126/F27)*100),"")</f>
        <v>0</v>
      </c>
      <c r="I126" s="5">
        <f>IFERROR(((H126/H27)*100),"")</f>
        <v>0</v>
      </c>
      <c r="K126" s="5">
        <f>IFERROR(((J126/J27)*100),"")</f>
        <v>0</v>
      </c>
      <c r="M126" s="5">
        <f>IFERROR(((L126/L27)*100),"")</f>
        <v>0</v>
      </c>
      <c r="O126" s="5">
        <f>IFERROR(((N126/N27)*100),"")</f>
        <v>0</v>
      </c>
      <c r="Q126" s="5">
        <f>IFERROR(((P126/P27)*100),"")</f>
        <v>0</v>
      </c>
      <c r="S126" s="5">
        <f>IFERROR(((R126/R27)*100),"")</f>
        <v>0</v>
      </c>
      <c r="U126" s="5">
        <f>IFERROR(((T126/T27)*100),"")</f>
        <v>0</v>
      </c>
      <c r="W126" s="20">
        <f>IFERROR(((V126/V27)*100),"")</f>
        <v>0</v>
      </c>
      <c r="Y126" s="5">
        <f>IFERROR(((X126/X27)*100),"")</f>
        <v>0</v>
      </c>
    </row>
    <row r="127" spans="1:25" outlineLevel="3" x14ac:dyDescent="0.2">
      <c r="A127" s="14" t="s">
        <v>120</v>
      </c>
      <c r="B127" s="7">
        <v>141.15</v>
      </c>
      <c r="C127" s="5">
        <f>IFERROR(((B127/B27)*100),"")</f>
        <v>8.6314664681133829E-2</v>
      </c>
      <c r="E127" s="5">
        <f>IFERROR(((D127/D27)*100),"")</f>
        <v>0</v>
      </c>
      <c r="G127" s="5">
        <f>IFERROR(((F127/F27)*100),"")</f>
        <v>0</v>
      </c>
      <c r="I127" s="5">
        <f>IFERROR(((H127/H27)*100),"")</f>
        <v>0</v>
      </c>
      <c r="K127" s="5">
        <f>IFERROR(((J127/J27)*100),"")</f>
        <v>0</v>
      </c>
      <c r="M127" s="5">
        <f>IFERROR(((L127/L27)*100),"")</f>
        <v>0</v>
      </c>
      <c r="O127" s="5">
        <f>IFERROR(((N127/N27)*100),"")</f>
        <v>0</v>
      </c>
      <c r="Q127" s="5">
        <f>IFERROR(((P127/P27)*100),"")</f>
        <v>0</v>
      </c>
      <c r="S127" s="5">
        <f>IFERROR(((R127/R27)*100),"")</f>
        <v>0</v>
      </c>
      <c r="U127" s="5">
        <f>IFERROR(((T127/T27)*100),"")</f>
        <v>0</v>
      </c>
      <c r="W127" s="20">
        <f>IFERROR(((V127/V27)*100),"")</f>
        <v>0</v>
      </c>
      <c r="X127" s="7">
        <f>B127+D127+F127+H127+J127+L127+N127+P127+R127+T127+V127</f>
        <v>141.15</v>
      </c>
      <c r="Y127" s="5">
        <f>IFERROR(((X127/X27)*100),"")</f>
        <v>8.4421928129013845E-3</v>
      </c>
    </row>
    <row r="128" spans="1:25" outlineLevel="3" x14ac:dyDescent="0.2">
      <c r="A128" s="14" t="s">
        <v>121</v>
      </c>
      <c r="C128" s="5">
        <f>IFERROR(((B128/B27)*100),"")</f>
        <v>0</v>
      </c>
      <c r="E128" s="5">
        <f>IFERROR(((D128/D27)*100),"")</f>
        <v>0</v>
      </c>
      <c r="G128" s="5">
        <f>IFERROR(((F128/F27)*100),"")</f>
        <v>0</v>
      </c>
      <c r="H128" s="7">
        <v>261.45</v>
      </c>
      <c r="I128" s="5">
        <f>IFERROR(((H128/H27)*100),"")</f>
        <v>0.16056831541574357</v>
      </c>
      <c r="J128" s="7">
        <v>1659</v>
      </c>
      <c r="K128" s="5">
        <f>IFERROR(((J128/J27)*100),"")</f>
        <v>1.0280028216477688</v>
      </c>
      <c r="M128" s="5">
        <f>IFERROR(((L128/L27)*100),"")</f>
        <v>0</v>
      </c>
      <c r="O128" s="5">
        <f>IFERROR(((N128/N27)*100),"")</f>
        <v>0</v>
      </c>
      <c r="Q128" s="5">
        <f>IFERROR(((P128/P27)*100),"")</f>
        <v>0</v>
      </c>
      <c r="R128" s="7">
        <v>225</v>
      </c>
      <c r="S128" s="5">
        <f>IFERROR(((R128/R27)*100),"")</f>
        <v>0.16947963950701461</v>
      </c>
      <c r="U128" s="5">
        <f>IFERROR(((T128/T27)*100),"")</f>
        <v>0</v>
      </c>
      <c r="V128" s="21">
        <v>358.98</v>
      </c>
      <c r="W128" s="20">
        <f>IFERROR(((V128/V27)*100),"")</f>
        <v>0.22884988874024506</v>
      </c>
      <c r="X128" s="7">
        <f>B128+D128+F128+H128+J128+L128+N128+P128+R128+T128+V128</f>
        <v>2504.4299999999998</v>
      </c>
      <c r="Y128" s="5">
        <f>IFERROR(((X128/X27)*100),"")</f>
        <v>0.14979015902525405</v>
      </c>
    </row>
    <row r="129" spans="1:25" outlineLevel="3" x14ac:dyDescent="0.2">
      <c r="A129" s="14" t="s">
        <v>122</v>
      </c>
      <c r="B129" s="7">
        <v>1271.6300000000001</v>
      </c>
      <c r="C129" s="5">
        <f>IFERROR(((B129/B27)*100),"")</f>
        <v>0.77761471518576142</v>
      </c>
      <c r="D129" s="7">
        <v>1271.6300000000001</v>
      </c>
      <c r="E129" s="5">
        <f>IFERROR(((D129/D27)*100),"")</f>
        <v>0.90939822585712304</v>
      </c>
      <c r="F129" s="7">
        <v>1271.6300000000001</v>
      </c>
      <c r="G129" s="5">
        <f>IFERROR(((F129/F27)*100),"")</f>
        <v>0.77993875086028308</v>
      </c>
      <c r="H129" s="7">
        <v>1304.29</v>
      </c>
      <c r="I129" s="5">
        <f>IFERROR(((H129/H27)*100),"")</f>
        <v>0.80102370668808631</v>
      </c>
      <c r="J129" s="7">
        <v>1461.85</v>
      </c>
      <c r="K129" s="5">
        <f>IFERROR(((J129/J27)*100),"")</f>
        <v>0.90583841158878298</v>
      </c>
      <c r="L129" s="7">
        <v>1304.29</v>
      </c>
      <c r="M129" s="5">
        <f>IFERROR(((L129/L27)*100),"")</f>
        <v>0.86955820264414918</v>
      </c>
      <c r="N129" s="7">
        <v>1478.82</v>
      </c>
      <c r="O129" s="5">
        <f>IFERROR(((N129/N27)*100),"")</f>
        <v>1.0411156993519866</v>
      </c>
      <c r="P129" s="7">
        <v>1574.76</v>
      </c>
      <c r="Q129" s="5">
        <f>IFERROR(((P129/P27)*100),"")</f>
        <v>1.020243021996682</v>
      </c>
      <c r="R129" s="7">
        <v>1968.97</v>
      </c>
      <c r="S129" s="5">
        <f>IFERROR(((R129/R27)*100),"")</f>
        <v>1.4831125591116736</v>
      </c>
      <c r="T129" s="7">
        <v>2139.6799999999998</v>
      </c>
      <c r="U129" s="5">
        <f>IFERROR(((T129/T27)*100),"")</f>
        <v>1.4722250050365882</v>
      </c>
      <c r="V129" s="21">
        <v>1811.32</v>
      </c>
      <c r="W129" s="20">
        <f>IFERROR(((V129/V27)*100),"")</f>
        <v>1.1547172000473025</v>
      </c>
      <c r="X129" s="7">
        <f>B129+D129+F129+H129+J129+L129+N129+P129+R129+T129+V129</f>
        <v>16858.870000000003</v>
      </c>
      <c r="Y129" s="5">
        <f>IFERROR(((X129/X27)*100),"")</f>
        <v>1.0083303659060487</v>
      </c>
    </row>
    <row r="130" spans="1:25" outlineLevel="2" x14ac:dyDescent="0.2">
      <c r="A130" s="15" t="s">
        <v>123</v>
      </c>
      <c r="B130" s="10">
        <f>B126+B127+B128+B129</f>
        <v>1412.7800000000002</v>
      </c>
      <c r="C130" s="11">
        <f>IFERROR(((B130/B27)*100),"")</f>
        <v>0.86392937986689533</v>
      </c>
      <c r="D130" s="10">
        <f>D126+D127+D128+D129</f>
        <v>1271.6300000000001</v>
      </c>
      <c r="E130" s="11">
        <f>IFERROR(((D130/D27)*100),"")</f>
        <v>0.90939822585712304</v>
      </c>
      <c r="F130" s="10">
        <f>F126+F127+F128+F129</f>
        <v>1271.6300000000001</v>
      </c>
      <c r="G130" s="11">
        <f>IFERROR(((F130/F27)*100),"")</f>
        <v>0.77993875086028308</v>
      </c>
      <c r="H130" s="10">
        <f>H126+H127+H128+H129</f>
        <v>1565.74</v>
      </c>
      <c r="I130" s="11">
        <f>IFERROR(((H130/H27)*100),"")</f>
        <v>0.96159202210382988</v>
      </c>
      <c r="J130" s="10">
        <f>J126+J127+J128+J129</f>
        <v>3120.85</v>
      </c>
      <c r="K130" s="11">
        <f>IFERROR(((J130/J27)*100),"")</f>
        <v>1.933841233236552</v>
      </c>
      <c r="L130" s="10">
        <f>L126+L127+L128+L129</f>
        <v>1304.29</v>
      </c>
      <c r="M130" s="11">
        <f>IFERROR(((L130/L27)*100),"")</f>
        <v>0.86955820264414918</v>
      </c>
      <c r="N130" s="10">
        <f>N126+N127+N128+N129</f>
        <v>1478.82</v>
      </c>
      <c r="O130" s="11">
        <f>IFERROR(((N130/N27)*100),"")</f>
        <v>1.0411156993519866</v>
      </c>
      <c r="P130" s="10">
        <f>P126+P127+P128+P129</f>
        <v>1574.76</v>
      </c>
      <c r="Q130" s="11">
        <f>IFERROR(((P130/P27)*100),"")</f>
        <v>1.020243021996682</v>
      </c>
      <c r="R130" s="10">
        <f>R126+R127+R128+R129</f>
        <v>2193.9700000000003</v>
      </c>
      <c r="S130" s="11">
        <f>IFERROR(((R130/R27)*100),"")</f>
        <v>1.6525921986186884</v>
      </c>
      <c r="T130" s="10">
        <f>T126+T127+T128+T129</f>
        <v>2139.6799999999998</v>
      </c>
      <c r="U130" s="11">
        <f>IFERROR(((T130/T27)*100),"")</f>
        <v>1.4722250050365882</v>
      </c>
      <c r="V130" s="22">
        <f>V126+V127+V128+V129</f>
        <v>2170.3000000000002</v>
      </c>
      <c r="W130" s="23">
        <f>IFERROR(((V130/V27)*100),"")</f>
        <v>1.3835670887875477</v>
      </c>
      <c r="X130" s="12">
        <f>B130+D130+F130+H130+J130+L130+N130+P130+R130+T130+V130</f>
        <v>19504.45</v>
      </c>
      <c r="Y130" s="11">
        <f>IFERROR(((X130/X27)*100),"")</f>
        <v>1.1665627177442039</v>
      </c>
    </row>
    <row r="131" spans="1:25" outlineLevel="2" x14ac:dyDescent="0.2">
      <c r="A131" s="8" t="s">
        <v>124</v>
      </c>
      <c r="C131" s="5">
        <f>IFERROR(((B131/B27)*100),"")</f>
        <v>0</v>
      </c>
      <c r="E131" s="5">
        <f>IFERROR(((D131/D27)*100),"")</f>
        <v>0</v>
      </c>
      <c r="G131" s="5">
        <f>IFERROR(((F131/F27)*100),"")</f>
        <v>0</v>
      </c>
      <c r="I131" s="5">
        <f>IFERROR(((H131/H27)*100),"")</f>
        <v>0</v>
      </c>
      <c r="K131" s="5">
        <f>IFERROR(((J131/J27)*100),"")</f>
        <v>0</v>
      </c>
      <c r="M131" s="5">
        <f>IFERROR(((L131/L27)*100),"")</f>
        <v>0</v>
      </c>
      <c r="O131" s="5">
        <f>IFERROR(((N131/N27)*100),"")</f>
        <v>0</v>
      </c>
      <c r="Q131" s="5">
        <f>IFERROR(((P131/P27)*100),"")</f>
        <v>0</v>
      </c>
      <c r="S131" s="5">
        <f>IFERROR(((R131/R27)*100),"")</f>
        <v>0</v>
      </c>
      <c r="U131" s="5">
        <f>IFERROR(((T131/T27)*100),"")</f>
        <v>0</v>
      </c>
      <c r="W131" s="20">
        <f>IFERROR(((V131/V27)*100),"")</f>
        <v>0</v>
      </c>
      <c r="Y131" s="5">
        <f>IFERROR(((X131/X27)*100),"")</f>
        <v>0</v>
      </c>
    </row>
    <row r="132" spans="1:25" outlineLevel="3" x14ac:dyDescent="0.2">
      <c r="A132" s="14" t="s">
        <v>125</v>
      </c>
      <c r="B132" s="7">
        <v>-80.900000000000006</v>
      </c>
      <c r="C132" s="5">
        <f>IFERROR(((B132/B27)*100),"")</f>
        <v>-4.9471175151992397E-2</v>
      </c>
      <c r="D132" s="7">
        <v>-35.39</v>
      </c>
      <c r="E132" s="5">
        <f>IFERROR(((D132/D27)*100),"")</f>
        <v>-2.5308936729303011E-2</v>
      </c>
      <c r="F132" s="7">
        <v>-76.27</v>
      </c>
      <c r="G132" s="5">
        <f>IFERROR(((F132/F27)*100),"")</f>
        <v>-4.6779274260684151E-2</v>
      </c>
      <c r="H132" s="7">
        <v>-74.040000000000006</v>
      </c>
      <c r="I132" s="5">
        <f>IFERROR(((H132/H27)*100),"")</f>
        <v>-4.5471325581876665E-2</v>
      </c>
      <c r="J132" s="7">
        <v>-58.24</v>
      </c>
      <c r="K132" s="5">
        <f>IFERROR(((J132/J27)*100),"")</f>
        <v>-3.6088537873879487E-2</v>
      </c>
      <c r="L132" s="7">
        <v>-46.54</v>
      </c>
      <c r="M132" s="5">
        <f>IFERROR(((L132/L27)*100),"")</f>
        <v>-3.10277919412544E-2</v>
      </c>
      <c r="N132" s="7">
        <v>-48.3</v>
      </c>
      <c r="O132" s="5">
        <f>IFERROR(((N132/N27)*100),"")</f>
        <v>-3.4004062887099819E-2</v>
      </c>
      <c r="P132" s="7">
        <v>-42.32</v>
      </c>
      <c r="Q132" s="5">
        <f>IFERROR(((P132/P27)*100),"")</f>
        <v>-2.7417946030442474E-2</v>
      </c>
      <c r="R132" s="7">
        <v>-36.409999999999997</v>
      </c>
      <c r="S132" s="5">
        <f>IFERROR(((R132/R27)*100),"")</f>
        <v>-2.7425571886446232E-2</v>
      </c>
      <c r="T132" s="7">
        <v>-62.19</v>
      </c>
      <c r="U132" s="5">
        <f>IFERROR(((T132/T27)*100),"")</f>
        <v>-4.2790357933534653E-2</v>
      </c>
      <c r="V132" s="21">
        <v>-210.84</v>
      </c>
      <c r="W132" s="20">
        <f>IFERROR(((V132/V27)*100),"")</f>
        <v>-0.13441058148641502</v>
      </c>
      <c r="X132" s="7">
        <f t="shared" ref="X132:X140" si="7">B132+D132+F132+H132+J132+L132+N132+P132+R132+T132+V132</f>
        <v>-771.44000000000017</v>
      </c>
      <c r="Y132" s="5">
        <f>IFERROR(((X132/X27)*100),"")</f>
        <v>-4.6139888229434253E-2</v>
      </c>
    </row>
    <row r="133" spans="1:25" outlineLevel="3" x14ac:dyDescent="0.2">
      <c r="A133" s="14" t="s">
        <v>126</v>
      </c>
      <c r="B133" s="7">
        <v>1283.54</v>
      </c>
      <c r="C133" s="5">
        <f>IFERROR(((B133/B27)*100),"")</f>
        <v>0.78489780166363809</v>
      </c>
      <c r="D133" s="7">
        <v>1283.54</v>
      </c>
      <c r="E133" s="5">
        <f>IFERROR(((D133/D27)*100),"")</f>
        <v>0.91791558772335635</v>
      </c>
      <c r="F133" s="7">
        <v>1283.54</v>
      </c>
      <c r="G133" s="5">
        <f>IFERROR(((F133/F27)*100),"")</f>
        <v>0.7872436040980535</v>
      </c>
      <c r="H133" s="7">
        <v>1283.54</v>
      </c>
      <c r="I133" s="5">
        <f>IFERROR(((H133/H27)*100),"")</f>
        <v>0.78828018959159873</v>
      </c>
      <c r="J133" s="7">
        <v>1283.54</v>
      </c>
      <c r="K133" s="5">
        <f>IFERROR(((J133/J27)*100),"")</f>
        <v>0.79534824695465778</v>
      </c>
      <c r="L133" s="7">
        <v>1283.54</v>
      </c>
      <c r="M133" s="5">
        <f>IFERROR(((L133/L27)*100),"")</f>
        <v>0.85572436760373172</v>
      </c>
      <c r="N133" s="7">
        <v>1283.54</v>
      </c>
      <c r="O133" s="5">
        <f>IFERROR(((N133/N27)*100),"")</f>
        <v>0.90363509064406022</v>
      </c>
      <c r="P133" s="7">
        <v>1283.54</v>
      </c>
      <c r="Q133" s="5">
        <f>IFERROR(((P133/P27)*100),"")</f>
        <v>0.83156971757831122</v>
      </c>
      <c r="R133" s="7">
        <v>1283.54</v>
      </c>
      <c r="S133" s="5">
        <f>IFERROR(((R133/R27)*100),"")</f>
        <v>0.96681731774592683</v>
      </c>
      <c r="T133" s="7">
        <v>1283.54</v>
      </c>
      <c r="U133" s="5">
        <f>IFERROR(((T133/T27)*100),"")</f>
        <v>0.88315060334473505</v>
      </c>
      <c r="V133" s="21">
        <v>1283.54</v>
      </c>
      <c r="W133" s="20">
        <f>IFERROR(((V133/V27)*100),"")</f>
        <v>0.8182572460684554</v>
      </c>
      <c r="X133" s="7">
        <f t="shared" si="7"/>
        <v>14118.940000000002</v>
      </c>
      <c r="Y133" s="5">
        <f>IFERROR(((X133/X27)*100),"")</f>
        <v>0.84445493300592189</v>
      </c>
    </row>
    <row r="134" spans="1:25" outlineLevel="3" x14ac:dyDescent="0.2">
      <c r="A134" s="14" t="s">
        <v>127</v>
      </c>
      <c r="B134" s="7">
        <v>807.87</v>
      </c>
      <c r="C134" s="5">
        <f>IFERROR(((B134/B27)*100),"")</f>
        <v>0.49402074499431514</v>
      </c>
      <c r="D134" s="7">
        <v>807.87</v>
      </c>
      <c r="E134" s="5">
        <f>IFERROR(((D134/D27)*100),"")</f>
        <v>0.57774316799949188</v>
      </c>
      <c r="F134" s="7">
        <v>807.87</v>
      </c>
      <c r="G134" s="5">
        <f>IFERROR(((F134/F27)*100),"")</f>
        <v>0.49549721118367518</v>
      </c>
      <c r="H134" s="7">
        <v>807.87</v>
      </c>
      <c r="I134" s="5">
        <f>IFERROR(((H134/H27)*100),"")</f>
        <v>0.49614964610792411</v>
      </c>
      <c r="J134" s="7">
        <v>807.87</v>
      </c>
      <c r="K134" s="5">
        <f>IFERROR(((J134/J27)*100),"")</f>
        <v>0.50059833606062876</v>
      </c>
      <c r="L134" s="7">
        <v>807.87</v>
      </c>
      <c r="M134" s="5">
        <f>IFERROR(((L134/L27)*100),"")</f>
        <v>0.53859953320973775</v>
      </c>
      <c r="N134" s="7">
        <v>807.87</v>
      </c>
      <c r="O134" s="5">
        <f>IFERROR(((N134/N27)*100),"")</f>
        <v>0.56875491272466527</v>
      </c>
      <c r="P134" s="7">
        <v>807.87</v>
      </c>
      <c r="Q134" s="5">
        <f>IFERROR(((P134/P27)*100),"")</f>
        <v>0.52339640972621837</v>
      </c>
      <c r="R134" s="7">
        <v>807.87</v>
      </c>
      <c r="S134" s="5">
        <f>IFERROR(((R134/R27)*100),"")</f>
        <v>0.60852229497125288</v>
      </c>
      <c r="T134" s="7">
        <v>807.87</v>
      </c>
      <c r="U134" s="5">
        <f>IFERROR(((T134/T27)*100),"")</f>
        <v>0.55586181803770118</v>
      </c>
      <c r="V134" s="21">
        <v>807.87</v>
      </c>
      <c r="W134" s="20">
        <f>IFERROR(((V134/V27)*100),"")</f>
        <v>0.51501743722932136</v>
      </c>
      <c r="X134" s="7">
        <f t="shared" si="7"/>
        <v>8886.57</v>
      </c>
      <c r="Y134" s="5">
        <f>IFERROR(((X134/X27)*100),"")</f>
        <v>0.53150646394151646</v>
      </c>
    </row>
    <row r="135" spans="1:25" outlineLevel="2" x14ac:dyDescent="0.2">
      <c r="A135" s="15" t="s">
        <v>128</v>
      </c>
      <c r="B135" s="10">
        <f>B131+B132+B133+B134</f>
        <v>2010.5099999999998</v>
      </c>
      <c r="C135" s="11">
        <f>IFERROR(((B135/B27)*100),"")</f>
        <v>1.2294473715059606</v>
      </c>
      <c r="D135" s="10">
        <f>D131+D132+D133+D134</f>
        <v>2056.02</v>
      </c>
      <c r="E135" s="11">
        <f>IFERROR(((D135/D27)*100),"")</f>
        <v>1.4703498189935453</v>
      </c>
      <c r="F135" s="10">
        <f>F131+F132+F133+F134</f>
        <v>2015.1399999999999</v>
      </c>
      <c r="G135" s="11">
        <f>IFERROR(((F135/F27)*100),"")</f>
        <v>1.2359615410210445</v>
      </c>
      <c r="H135" s="10">
        <f>H131+H132+H133+H134</f>
        <v>2017.37</v>
      </c>
      <c r="I135" s="11">
        <f>IFERROR(((H135/H27)*100),"")</f>
        <v>1.2389585101176461</v>
      </c>
      <c r="J135" s="10">
        <f>J131+J132+J133+J134</f>
        <v>2033.17</v>
      </c>
      <c r="K135" s="11">
        <f>IFERROR(((J135/J27)*100),"")</f>
        <v>1.259858045141407</v>
      </c>
      <c r="L135" s="10">
        <f>L131+L132+L133+L134</f>
        <v>2044.87</v>
      </c>
      <c r="M135" s="11">
        <f>IFERROR(((L135/L27)*100),"")</f>
        <v>1.3632961088722151</v>
      </c>
      <c r="N135" s="10">
        <f>N131+N132+N133+N134</f>
        <v>2043.1100000000001</v>
      </c>
      <c r="O135" s="11">
        <f>IFERROR(((N135/N27)*100),"")</f>
        <v>1.4383859404816257</v>
      </c>
      <c r="P135" s="10">
        <f>P131+P132+P133+P134</f>
        <v>2049.09</v>
      </c>
      <c r="Q135" s="11">
        <f>IFERROR(((P135/P27)*100),"")</f>
        <v>1.3275481812740872</v>
      </c>
      <c r="R135" s="10">
        <f>R131+R132+R133+R134</f>
        <v>2055</v>
      </c>
      <c r="S135" s="11">
        <f>IFERROR(((R135/R27)*100),"")</f>
        <v>1.5479140408307335</v>
      </c>
      <c r="T135" s="10">
        <f>T131+T132+T133+T134</f>
        <v>2029.2199999999998</v>
      </c>
      <c r="U135" s="11">
        <f>IFERROR(((T135/T27)*100),"")</f>
        <v>1.3962220634489015</v>
      </c>
      <c r="V135" s="22">
        <f>V131+V132+V133+V134</f>
        <v>1880.5700000000002</v>
      </c>
      <c r="W135" s="23">
        <f>IFERROR(((V135/V27)*100),"")</f>
        <v>1.1988641018113619</v>
      </c>
      <c r="X135" s="12">
        <f t="shared" si="7"/>
        <v>22234.07</v>
      </c>
      <c r="Y135" s="11">
        <f>IFERROR(((X135/X27)*100),"")</f>
        <v>1.3298215087180039</v>
      </c>
    </row>
    <row r="136" spans="1:25" outlineLevel="2" x14ac:dyDescent="0.2">
      <c r="A136" s="8" t="s">
        <v>129</v>
      </c>
      <c r="C136" s="5">
        <f>IFERROR(((B136/B27)*100),"")</f>
        <v>0</v>
      </c>
      <c r="E136" s="5">
        <f>IFERROR(((D136/D27)*100),"")</f>
        <v>0</v>
      </c>
      <c r="G136" s="5">
        <f>IFERROR(((F136/F27)*100),"")</f>
        <v>0</v>
      </c>
      <c r="I136" s="5">
        <f>IFERROR(((H136/H27)*100),"")</f>
        <v>0</v>
      </c>
      <c r="K136" s="5">
        <f>IFERROR(((J136/J27)*100),"")</f>
        <v>0</v>
      </c>
      <c r="M136" s="5">
        <f>IFERROR(((L136/L27)*100),"")</f>
        <v>0</v>
      </c>
      <c r="O136" s="5">
        <f>IFERROR(((N136/N27)*100),"")</f>
        <v>0</v>
      </c>
      <c r="Q136" s="5">
        <f>IFERROR(((P136/P27)*100),"")</f>
        <v>0</v>
      </c>
      <c r="R136" s="7">
        <v>361.1</v>
      </c>
      <c r="S136" s="5">
        <f>IFERROR(((R136/R27)*100),"")</f>
        <v>0.27199599033770211</v>
      </c>
      <c r="U136" s="5">
        <f>IFERROR(((T136/T27)*100),"")</f>
        <v>0</v>
      </c>
      <c r="W136" s="20">
        <f>IFERROR(((V136/V27)*100),"")</f>
        <v>0</v>
      </c>
      <c r="X136" s="7">
        <f t="shared" si="7"/>
        <v>361.1</v>
      </c>
      <c r="Y136" s="5">
        <f>IFERROR(((X136/X27)*100),"")</f>
        <v>2.1597419941471411E-2</v>
      </c>
    </row>
    <row r="137" spans="1:25" outlineLevel="3" x14ac:dyDescent="0.2">
      <c r="A137" s="14" t="s">
        <v>130</v>
      </c>
      <c r="C137" s="5">
        <f>IFERROR(((B137/B27)*100),"")</f>
        <v>0</v>
      </c>
      <c r="E137" s="5">
        <f>IFERROR(((D137/D27)*100),"")</f>
        <v>0</v>
      </c>
      <c r="G137" s="5">
        <f>IFERROR(((F137/F27)*100),"")</f>
        <v>0</v>
      </c>
      <c r="I137" s="5">
        <f>IFERROR(((H137/H27)*100),"")</f>
        <v>0</v>
      </c>
      <c r="K137" s="5">
        <f>IFERROR(((J137/J27)*100),"")</f>
        <v>0</v>
      </c>
      <c r="M137" s="5">
        <f>IFERROR(((L137/L27)*100),"")</f>
        <v>0</v>
      </c>
      <c r="O137" s="5">
        <f>IFERROR(((N137/N27)*100),"")</f>
        <v>0</v>
      </c>
      <c r="Q137" s="5">
        <f>IFERROR(((P137/P27)*100),"")</f>
        <v>0</v>
      </c>
      <c r="S137" s="5">
        <f>IFERROR(((R137/R27)*100),"")</f>
        <v>0</v>
      </c>
      <c r="T137" s="7">
        <v>1752</v>
      </c>
      <c r="U137" s="5">
        <f>IFERROR(((T137/T27)*100),"")</f>
        <v>1.205478486887807</v>
      </c>
      <c r="W137" s="20">
        <f>IFERROR(((V137/V27)*100),"")</f>
        <v>0</v>
      </c>
      <c r="X137" s="7">
        <f t="shared" si="7"/>
        <v>1752</v>
      </c>
      <c r="Y137" s="5">
        <f>IFERROR(((X137/X27)*100),"")</f>
        <v>0.10478726041943483</v>
      </c>
    </row>
    <row r="138" spans="1:25" outlineLevel="3" x14ac:dyDescent="0.2">
      <c r="A138" s="14" t="s">
        <v>131</v>
      </c>
      <c r="C138" s="5">
        <f>IFERROR(((B138/B27)*100),"")</f>
        <v>0</v>
      </c>
      <c r="E138" s="5">
        <f>IFERROR(((D138/D27)*100),"")</f>
        <v>0</v>
      </c>
      <c r="G138" s="5">
        <f>IFERROR(((F138/F27)*100),"")</f>
        <v>0</v>
      </c>
      <c r="I138" s="5">
        <f>IFERROR(((H138/H27)*100),"")</f>
        <v>0</v>
      </c>
      <c r="K138" s="5">
        <f>IFERROR(((J138/J27)*100),"")</f>
        <v>0</v>
      </c>
      <c r="M138" s="5">
        <f>IFERROR(((L138/L27)*100),"")</f>
        <v>0</v>
      </c>
      <c r="O138" s="5">
        <f>IFERROR(((N138/N27)*100),"")</f>
        <v>0</v>
      </c>
      <c r="Q138" s="5">
        <f>IFERROR(((P138/P27)*100),"")</f>
        <v>0</v>
      </c>
      <c r="R138" s="7">
        <v>96.57</v>
      </c>
      <c r="S138" s="5">
        <f>IFERROR(((R138/R27)*100),"")</f>
        <v>7.274066127641067E-2</v>
      </c>
      <c r="U138" s="5">
        <f>IFERROR(((T138/T27)*100),"")</f>
        <v>0</v>
      </c>
      <c r="W138" s="20">
        <f>IFERROR(((V138/V27)*100),"")</f>
        <v>0</v>
      </c>
      <c r="X138" s="7">
        <f t="shared" si="7"/>
        <v>96.57</v>
      </c>
      <c r="Y138" s="5">
        <f>IFERROR(((X138/X27)*100),"")</f>
        <v>5.7758594399000109E-3</v>
      </c>
    </row>
    <row r="139" spans="1:25" outlineLevel="3" x14ac:dyDescent="0.2">
      <c r="A139" s="14" t="s">
        <v>132</v>
      </c>
      <c r="C139" s="5">
        <f>IFERROR(((B139/B27)*100),"")</f>
        <v>0</v>
      </c>
      <c r="E139" s="5">
        <f>IFERROR(((D139/D27)*100),"")</f>
        <v>0</v>
      </c>
      <c r="G139" s="5">
        <f>IFERROR(((F139/F27)*100),"")</f>
        <v>0</v>
      </c>
      <c r="I139" s="5">
        <f>IFERROR(((H139/H27)*100),"")</f>
        <v>0</v>
      </c>
      <c r="J139" s="7">
        <v>144</v>
      </c>
      <c r="K139" s="5">
        <f>IFERROR(((J139/J27)*100),"")</f>
        <v>8.9229901336515205E-2</v>
      </c>
      <c r="M139" s="5">
        <f>IFERROR(((L139/L27)*100),"")</f>
        <v>0</v>
      </c>
      <c r="O139" s="5">
        <f>IFERROR(((N139/N27)*100),"")</f>
        <v>0</v>
      </c>
      <c r="Q139" s="5">
        <f>IFERROR(((P139/P27)*100),"")</f>
        <v>0</v>
      </c>
      <c r="S139" s="5">
        <f>IFERROR(((R139/R27)*100),"")</f>
        <v>0</v>
      </c>
      <c r="U139" s="5">
        <f>IFERROR(((T139/T27)*100),"")</f>
        <v>0</v>
      </c>
      <c r="W139" s="20">
        <f>IFERROR(((V139/V27)*100),"")</f>
        <v>0</v>
      </c>
      <c r="X139" s="7">
        <f t="shared" si="7"/>
        <v>144</v>
      </c>
      <c r="Y139" s="5">
        <f>IFERROR(((X139/X27)*100),"")</f>
        <v>8.6126515413234104E-3</v>
      </c>
    </row>
    <row r="140" spans="1:25" outlineLevel="2" x14ac:dyDescent="0.2">
      <c r="A140" s="15" t="s">
        <v>133</v>
      </c>
      <c r="B140" s="10"/>
      <c r="C140" s="11">
        <f>IFERROR(((B140/B27)*100),"")</f>
        <v>0</v>
      </c>
      <c r="D140" s="10"/>
      <c r="E140" s="11">
        <f>IFERROR(((D140/D27)*100),"")</f>
        <v>0</v>
      </c>
      <c r="F140" s="10"/>
      <c r="G140" s="11">
        <f>IFERROR(((F140/F27)*100),"")</f>
        <v>0</v>
      </c>
      <c r="H140" s="10"/>
      <c r="I140" s="11">
        <f>IFERROR(((H140/H27)*100),"")</f>
        <v>0</v>
      </c>
      <c r="J140" s="10">
        <f>J136+J137+J138+J139</f>
        <v>144</v>
      </c>
      <c r="K140" s="11">
        <f>IFERROR(((J140/J27)*100),"")</f>
        <v>8.9229901336515205E-2</v>
      </c>
      <c r="L140" s="10"/>
      <c r="M140" s="11">
        <f>IFERROR(((L140/L27)*100),"")</f>
        <v>0</v>
      </c>
      <c r="N140" s="10"/>
      <c r="O140" s="11">
        <f>IFERROR(((N140/N27)*100),"")</f>
        <v>0</v>
      </c>
      <c r="P140" s="10"/>
      <c r="Q140" s="11">
        <f>IFERROR(((P140/P27)*100),"")</f>
        <v>0</v>
      </c>
      <c r="R140" s="10">
        <f>R136+R137+R138+R139</f>
        <v>457.67</v>
      </c>
      <c r="S140" s="11">
        <f>IFERROR(((R140/R27)*100),"")</f>
        <v>0.34473665161411282</v>
      </c>
      <c r="T140" s="10">
        <f>T136+T137+T138+T139</f>
        <v>1752</v>
      </c>
      <c r="U140" s="11">
        <f>IFERROR(((T140/T27)*100),"")</f>
        <v>1.205478486887807</v>
      </c>
      <c r="V140" s="22"/>
      <c r="W140" s="23">
        <f>IFERROR(((V140/V27)*100),"")</f>
        <v>0</v>
      </c>
      <c r="X140" s="12">
        <f t="shared" si="7"/>
        <v>2353.67</v>
      </c>
      <c r="Y140" s="11">
        <f>IFERROR(((X140/X27)*100),"")</f>
        <v>0.14077319134212965</v>
      </c>
    </row>
    <row r="141" spans="1:25" outlineLevel="2" x14ac:dyDescent="0.2">
      <c r="A141" s="8" t="s">
        <v>134</v>
      </c>
      <c r="C141" s="5">
        <f>IFERROR(((B141/B27)*100),"")</f>
        <v>0</v>
      </c>
      <c r="E141" s="5">
        <f>IFERROR(((D141/D27)*100),"")</f>
        <v>0</v>
      </c>
      <c r="G141" s="5">
        <f>IFERROR(((F141/F27)*100),"")</f>
        <v>0</v>
      </c>
      <c r="I141" s="5">
        <f>IFERROR(((H141/H27)*100),"")</f>
        <v>0</v>
      </c>
      <c r="K141" s="5">
        <f>IFERROR(((J141/J27)*100),"")</f>
        <v>0</v>
      </c>
      <c r="M141" s="5">
        <f>IFERROR(((L141/L27)*100),"")</f>
        <v>0</v>
      </c>
      <c r="O141" s="5">
        <f>IFERROR(((N141/N27)*100),"")</f>
        <v>0</v>
      </c>
      <c r="Q141" s="5">
        <f>IFERROR(((P141/P27)*100),"")</f>
        <v>0</v>
      </c>
      <c r="S141" s="5">
        <f>IFERROR(((R141/R27)*100),"")</f>
        <v>0</v>
      </c>
      <c r="U141" s="5">
        <f>IFERROR(((T141/T27)*100),"")</f>
        <v>0</v>
      </c>
      <c r="W141" s="20">
        <f>IFERROR(((V141/V27)*100),"")</f>
        <v>0</v>
      </c>
      <c r="Y141" s="5">
        <f>IFERROR(((X141/X27)*100),"")</f>
        <v>0</v>
      </c>
    </row>
    <row r="142" spans="1:25" outlineLevel="3" x14ac:dyDescent="0.2">
      <c r="A142" s="14" t="s">
        <v>135</v>
      </c>
      <c r="B142" s="7">
        <v>950</v>
      </c>
      <c r="C142" s="5">
        <f>IFERROR(((B142/B27)*100),"")</f>
        <v>0.58093468967110973</v>
      </c>
      <c r="D142" s="7">
        <v>950</v>
      </c>
      <c r="E142" s="5">
        <f>IFERROR(((D142/D27)*100),"")</f>
        <v>0.67938654684481092</v>
      </c>
      <c r="F142" s="7">
        <v>950</v>
      </c>
      <c r="G142" s="5">
        <f>IFERROR(((F142/F27)*100),"")</f>
        <v>0.58267091317228192</v>
      </c>
      <c r="H142" s="7">
        <v>1950</v>
      </c>
      <c r="I142" s="5">
        <f>IFERROR(((H142/H27)*100),"")</f>
        <v>1.1975835343687129</v>
      </c>
      <c r="J142" s="7">
        <v>1950</v>
      </c>
      <c r="K142" s="5">
        <f>IFERROR(((J142/J27)*100),"")</f>
        <v>1.2083215805986434</v>
      </c>
      <c r="L142" s="7">
        <v>1950</v>
      </c>
      <c r="M142" s="5">
        <f>IFERROR(((L142/L27)*100),"")</f>
        <v>1.3000471483765812</v>
      </c>
      <c r="N142" s="7">
        <v>1950</v>
      </c>
      <c r="O142" s="5">
        <f>IFERROR(((N142/N27)*100),"")</f>
        <v>1.3728348370568251</v>
      </c>
      <c r="P142" s="7">
        <v>1950</v>
      </c>
      <c r="Q142" s="5">
        <f>IFERROR(((P142/P27)*100),"")</f>
        <v>1.2633505377921272</v>
      </c>
      <c r="R142" s="7">
        <v>1950</v>
      </c>
      <c r="S142" s="5">
        <f>IFERROR(((R142/R27)*100),"")</f>
        <v>1.4688235423941267</v>
      </c>
      <c r="T142" s="7">
        <v>1950</v>
      </c>
      <c r="U142" s="5">
        <f>IFERROR(((T142/T27)*100),"")</f>
        <v>1.3417140693100591</v>
      </c>
      <c r="V142" s="21">
        <v>950</v>
      </c>
      <c r="W142" s="20">
        <f>IFERROR(((V142/V27)*100),"")</f>
        <v>0.60562536716037885</v>
      </c>
      <c r="X142" s="7">
        <f>B142+D142+F142+H142+J142+L142+N142+P142+R142+T142+V142</f>
        <v>17450</v>
      </c>
      <c r="Y142" s="5">
        <f>IFERROR(((X142/X27)*100),"")</f>
        <v>1.0436858985839828</v>
      </c>
    </row>
    <row r="143" spans="1:25" outlineLevel="2" x14ac:dyDescent="0.2">
      <c r="A143" s="15" t="s">
        <v>136</v>
      </c>
      <c r="B143" s="10">
        <f>B141+B142</f>
        <v>950</v>
      </c>
      <c r="C143" s="11">
        <f>IFERROR(((B143/B27)*100),"")</f>
        <v>0.58093468967110973</v>
      </c>
      <c r="D143" s="10">
        <f>D141+D142</f>
        <v>950</v>
      </c>
      <c r="E143" s="11">
        <f>IFERROR(((D143/D27)*100),"")</f>
        <v>0.67938654684481092</v>
      </c>
      <c r="F143" s="10">
        <f>F141+F142</f>
        <v>950</v>
      </c>
      <c r="G143" s="11">
        <f>IFERROR(((F143/F27)*100),"")</f>
        <v>0.58267091317228192</v>
      </c>
      <c r="H143" s="10">
        <f>H141+H142</f>
        <v>1950</v>
      </c>
      <c r="I143" s="11">
        <f>IFERROR(((H143/H27)*100),"")</f>
        <v>1.1975835343687129</v>
      </c>
      <c r="J143" s="10">
        <f>J141+J142</f>
        <v>1950</v>
      </c>
      <c r="K143" s="11">
        <f>IFERROR(((J143/J27)*100),"")</f>
        <v>1.2083215805986434</v>
      </c>
      <c r="L143" s="10">
        <f>L141+L142</f>
        <v>1950</v>
      </c>
      <c r="M143" s="11">
        <f>IFERROR(((L143/L27)*100),"")</f>
        <v>1.3000471483765812</v>
      </c>
      <c r="N143" s="10">
        <f>N141+N142</f>
        <v>1950</v>
      </c>
      <c r="O143" s="11">
        <f>IFERROR(((N143/N27)*100),"")</f>
        <v>1.3728348370568251</v>
      </c>
      <c r="P143" s="10">
        <f>P141+P142</f>
        <v>1950</v>
      </c>
      <c r="Q143" s="11">
        <f>IFERROR(((P143/P27)*100),"")</f>
        <v>1.2633505377921272</v>
      </c>
      <c r="R143" s="10">
        <f>R141+R142</f>
        <v>1950</v>
      </c>
      <c r="S143" s="11">
        <f>IFERROR(((R143/R27)*100),"")</f>
        <v>1.4688235423941267</v>
      </c>
      <c r="T143" s="10">
        <f>T141+T142</f>
        <v>1950</v>
      </c>
      <c r="U143" s="11">
        <f>IFERROR(((T143/T27)*100),"")</f>
        <v>1.3417140693100591</v>
      </c>
      <c r="V143" s="22">
        <f>V141+V142</f>
        <v>950</v>
      </c>
      <c r="W143" s="23">
        <f>IFERROR(((V143/V27)*100),"")</f>
        <v>0.60562536716037885</v>
      </c>
      <c r="X143" s="12">
        <f>B143+D143+F143+H143+J143+L143+N143+P143+R143+T143+V143</f>
        <v>17450</v>
      </c>
      <c r="Y143" s="11">
        <f>IFERROR(((X143/X27)*100),"")</f>
        <v>1.0436858985839828</v>
      </c>
    </row>
    <row r="144" spans="1:25" outlineLevel="2" x14ac:dyDescent="0.2">
      <c r="A144" s="8" t="s">
        <v>137</v>
      </c>
      <c r="B144" s="7">
        <v>710</v>
      </c>
      <c r="C144" s="5">
        <f>IFERROR(((B144/B27)*100),"")</f>
        <v>0.43417224175419777</v>
      </c>
      <c r="D144" s="7">
        <v>710</v>
      </c>
      <c r="E144" s="5">
        <f>IFERROR(((D144/D27)*100),"")</f>
        <v>0.50775205079980601</v>
      </c>
      <c r="F144" s="7">
        <v>1660</v>
      </c>
      <c r="G144" s="5">
        <f>IFERROR(((F144/F27)*100),"")</f>
        <v>1.0181407535431453</v>
      </c>
      <c r="H144" s="7">
        <v>1660</v>
      </c>
      <c r="I144" s="5">
        <f>IFERROR(((H144/H27)*100),"")</f>
        <v>1.0194813677190069</v>
      </c>
      <c r="J144" s="7">
        <v>1660</v>
      </c>
      <c r="K144" s="5">
        <f>IFERROR(((J144/J27)*100),"")</f>
        <v>1.0286224737403835</v>
      </c>
      <c r="L144" s="7">
        <v>1660</v>
      </c>
      <c r="M144" s="5">
        <f>IFERROR(((L144/L27)*100),"")</f>
        <v>1.1067068032333973</v>
      </c>
      <c r="N144" s="7">
        <v>1660</v>
      </c>
      <c r="O144" s="5">
        <f>IFERROR(((N144/N27)*100),"")</f>
        <v>1.1686696561611947</v>
      </c>
      <c r="P144" s="7">
        <v>1660</v>
      </c>
      <c r="Q144" s="5">
        <f>IFERROR(((P144/P27)*100),"")</f>
        <v>1.0754676372999645</v>
      </c>
      <c r="R144" s="7">
        <v>710</v>
      </c>
      <c r="S144" s="5">
        <f>IFERROR(((R144/R27)*100),"")</f>
        <v>0.53480241799991279</v>
      </c>
      <c r="T144" s="7">
        <v>710</v>
      </c>
      <c r="U144" s="5">
        <f>IFERROR(((T144/T27)*100),"")</f>
        <v>0.48852153292827788</v>
      </c>
      <c r="V144" s="21">
        <v>710</v>
      </c>
      <c r="W144" s="20">
        <f>IFERROR(((V144/V27)*100),"")</f>
        <v>0.45262527440407263</v>
      </c>
      <c r="X144" s="7">
        <f>B144+D144+F144+H144+J144+L144+N144+P144+R144+T144+V144</f>
        <v>13510</v>
      </c>
      <c r="Y144" s="5">
        <f>IFERROR(((X144/X27)*100),"")</f>
        <v>0.80803418280055039</v>
      </c>
    </row>
    <row r="145" spans="1:25" outlineLevel="1" x14ac:dyDescent="0.2">
      <c r="A145" s="9" t="s">
        <v>138</v>
      </c>
      <c r="B145" s="10">
        <f>B117+B125+B130+B135+B140+B143+B144</f>
        <v>5585.65</v>
      </c>
      <c r="C145" s="11">
        <f>IFERROR(((B145/B27)*100),"")</f>
        <v>3.415681946696246</v>
      </c>
      <c r="D145" s="10">
        <f>D117+D125+D130+D135+D140+D143+D144</f>
        <v>5581.73</v>
      </c>
      <c r="E145" s="11">
        <f>IFERROR(((D145/D27)*100),"")</f>
        <v>3.9917392317053539</v>
      </c>
      <c r="F145" s="10">
        <f>F117+F125+F130+F135+F140+F143+F144</f>
        <v>6536.49</v>
      </c>
      <c r="G145" s="11">
        <f>IFERROR(((F145/F27)*100),"")</f>
        <v>4.0090764181489362</v>
      </c>
      <c r="H145" s="10">
        <f>H117+H125+H130+H135+H140+H143+H144</f>
        <v>8013.37</v>
      </c>
      <c r="I145" s="11">
        <f>IFERROR(((H145/H27)*100),"")</f>
        <v>4.9213743419508775</v>
      </c>
      <c r="J145" s="10">
        <f>J117+J125+J130+J135+J140+J143+J144</f>
        <v>10673.76</v>
      </c>
      <c r="K145" s="11">
        <f>IFERROR(((J145/J27)*100),"")</f>
        <v>6.6140177200669612</v>
      </c>
      <c r="L145" s="10">
        <f>L117+L125+L130+L135+L140+L143+L144</f>
        <v>7578.15</v>
      </c>
      <c r="M145" s="11">
        <f>IFERROR(((L145/L27)*100),"")</f>
        <v>5.0522832294717883</v>
      </c>
      <c r="N145" s="10">
        <f>N117+N125+N130+N135+N140+N143+N144</f>
        <v>7927.1100000000006</v>
      </c>
      <c r="O145" s="11">
        <f>IFERROR(((N145/N27)*100),"")</f>
        <v>5.5808270590674507</v>
      </c>
      <c r="P145" s="10">
        <f>P117+P125+P130+P135+P140+P143+P144</f>
        <v>7940.33</v>
      </c>
      <c r="Q145" s="11">
        <f>IFERROR(((P145/P27)*100),"")</f>
        <v>5.1443180388445953</v>
      </c>
      <c r="R145" s="10">
        <f>R117+R125+R130+R135+R140+R143+R144</f>
        <v>7977.9000000000005</v>
      </c>
      <c r="S145" s="11">
        <f>IFERROR(((R145/R27)*100),"")</f>
        <v>6.0092960712133863</v>
      </c>
      <c r="T145" s="10">
        <f>T117+T125+T130+T135+T140+T143+T144</f>
        <v>9236.1999999999989</v>
      </c>
      <c r="U145" s="11">
        <f>IFERROR(((T145/T27)*100),"")</f>
        <v>6.3550458907495209</v>
      </c>
      <c r="V145" s="22">
        <f>V117+V125+V130+V135+V140+V143+V144</f>
        <v>6428.1900000000005</v>
      </c>
      <c r="W145" s="23">
        <f>IFERROR(((V145/V27)*100),"")</f>
        <v>4.0979736093965009</v>
      </c>
      <c r="X145" s="12">
        <f>B145+D145+F145+H145+J145+L145+N145+P145+R145+T145+V145</f>
        <v>83478.880000000005</v>
      </c>
      <c r="Y145" s="11">
        <f>IFERROR(((X145/X27)*100),"")</f>
        <v>4.9928785034718892</v>
      </c>
    </row>
    <row r="146" spans="1:25" outlineLevel="1" x14ac:dyDescent="0.2">
      <c r="A146" s="6" t="s">
        <v>139</v>
      </c>
      <c r="C146" s="5">
        <f>IFERROR(((B146/B27)*100),"")</f>
        <v>0</v>
      </c>
      <c r="E146" s="5">
        <f>IFERROR(((D146/D27)*100),"")</f>
        <v>0</v>
      </c>
      <c r="G146" s="5">
        <f>IFERROR(((F146/F27)*100),"")</f>
        <v>0</v>
      </c>
      <c r="I146" s="5">
        <f>IFERROR(((H146/H27)*100),"")</f>
        <v>0</v>
      </c>
      <c r="K146" s="5">
        <f>IFERROR(((J146/J27)*100),"")</f>
        <v>0</v>
      </c>
      <c r="M146" s="5">
        <f>IFERROR(((L146/L27)*100),"")</f>
        <v>0</v>
      </c>
      <c r="O146" s="5">
        <f>IFERROR(((N146/N27)*100),"")</f>
        <v>0</v>
      </c>
      <c r="Q146" s="5">
        <f>IFERROR(((P146/P27)*100),"")</f>
        <v>0</v>
      </c>
      <c r="S146" s="5">
        <f>IFERROR(((R146/R27)*100),"")</f>
        <v>0</v>
      </c>
      <c r="U146" s="5">
        <f>IFERROR(((T146/T27)*100),"")</f>
        <v>0</v>
      </c>
      <c r="W146" s="20">
        <f>IFERROR(((V146/V27)*100),"")</f>
        <v>0</v>
      </c>
      <c r="Y146" s="5">
        <f>IFERROR(((X146/X27)*100),"")</f>
        <v>0</v>
      </c>
    </row>
    <row r="147" spans="1:25" outlineLevel="2" x14ac:dyDescent="0.2">
      <c r="A147" s="8" t="s">
        <v>140</v>
      </c>
      <c r="B147" s="7">
        <v>215.41</v>
      </c>
      <c r="C147" s="5">
        <f>IFERROR(((B147/B27)*100),"")</f>
        <v>0.131725412107425</v>
      </c>
      <c r="D147" s="7">
        <v>215.41</v>
      </c>
      <c r="E147" s="5">
        <f>IFERROR(((D147/D27)*100),"")</f>
        <v>0.15404911163772705</v>
      </c>
      <c r="F147" s="7">
        <v>215.41</v>
      </c>
      <c r="G147" s="5">
        <f>IFERROR(((F147/F27)*100),"")</f>
        <v>0.13211909621730658</v>
      </c>
      <c r="H147" s="7">
        <v>215.41</v>
      </c>
      <c r="I147" s="5">
        <f>IFERROR(((H147/H27)*100),"")</f>
        <v>0.13229306109659714</v>
      </c>
      <c r="J147" s="7">
        <v>215.41</v>
      </c>
      <c r="K147" s="5">
        <f>IFERROR(((J147/J27)*100),"")</f>
        <v>0.13347925727013013</v>
      </c>
      <c r="L147" s="7">
        <v>215.41</v>
      </c>
      <c r="M147" s="5">
        <f>IFERROR(((L147/L27)*100),"")</f>
        <v>0.14361187499066633</v>
      </c>
      <c r="N147" s="7">
        <v>370.57</v>
      </c>
      <c r="O147" s="5">
        <f>IFERROR(((N147/N27)*100),"")</f>
        <v>0.26088790029135778</v>
      </c>
      <c r="P147" s="7">
        <v>370.57</v>
      </c>
      <c r="Q147" s="5">
        <f>IFERROR(((P147/P27)*100),"")</f>
        <v>0.24008195322545053</v>
      </c>
      <c r="R147" s="7">
        <v>370.57</v>
      </c>
      <c r="S147" s="5">
        <f>IFERROR(((R147/R27)*100),"")</f>
        <v>0.27912920005384184</v>
      </c>
      <c r="T147" s="7">
        <v>370.57</v>
      </c>
      <c r="U147" s="5">
        <f>IFERROR(((T147/T27)*100),"")</f>
        <v>0.25497383726370698</v>
      </c>
      <c r="V147" s="21">
        <v>370.57</v>
      </c>
      <c r="W147" s="20">
        <f>IFERROR(((V147/V27)*100),"")</f>
        <v>0.23623851821960168</v>
      </c>
      <c r="X147" s="7">
        <f>B147+D147+F147+H147+J147+L147+N147+P147+R147+T147+V147</f>
        <v>3145.3100000000004</v>
      </c>
      <c r="Y147" s="5">
        <f>IFERROR(((X147/X27)*100),"")</f>
        <v>0.18812124319055512</v>
      </c>
    </row>
    <row r="148" spans="1:25" outlineLevel="2" x14ac:dyDescent="0.2">
      <c r="A148" s="8" t="s">
        <v>141</v>
      </c>
      <c r="B148" s="7">
        <v>13911.28</v>
      </c>
      <c r="C148" s="5">
        <f>IFERROR(((B148/B27)*100),"")</f>
        <v>8.5068896102399112</v>
      </c>
      <c r="D148" s="7">
        <v>13911.28</v>
      </c>
      <c r="E148" s="5">
        <f>IFERROR(((D148/D27)*100),"")</f>
        <v>9.9485647172539799</v>
      </c>
      <c r="F148" s="7">
        <v>13911.28</v>
      </c>
      <c r="G148" s="5">
        <f>IFERROR(((F148/F27)*100),"")</f>
        <v>8.5323139168371593</v>
      </c>
      <c r="H148" s="7">
        <v>13911.28</v>
      </c>
      <c r="I148" s="5">
        <f>IFERROR(((H148/H27)*100),"")</f>
        <v>8.5435486512783534</v>
      </c>
      <c r="J148" s="7">
        <v>13911.28</v>
      </c>
      <c r="K148" s="5">
        <f>IFERROR(((J148/J27)*100),"")</f>
        <v>8.6201537629488705</v>
      </c>
      <c r="L148" s="7">
        <v>13911.25</v>
      </c>
      <c r="M148" s="5">
        <f>IFERROR(((L148/L27)*100),"")</f>
        <v>9.2745030219762636</v>
      </c>
      <c r="N148" s="7">
        <v>14328.62</v>
      </c>
      <c r="O148" s="5">
        <f>IFERROR(((N148/N27)*100),"")</f>
        <v>10.087604463050855</v>
      </c>
      <c r="P148" s="7">
        <v>14328.62</v>
      </c>
      <c r="Q148" s="5">
        <f>IFERROR(((P148/P27)*100),"")</f>
        <v>9.2831127091379635</v>
      </c>
      <c r="R148" s="7">
        <v>14328.62</v>
      </c>
      <c r="S148" s="5">
        <f>IFERROR(((R148/R27)*100),"")</f>
        <v>10.792930454368889</v>
      </c>
      <c r="T148" s="7">
        <v>14328.62</v>
      </c>
      <c r="U148" s="5">
        <f>IFERROR(((T148/T27)*100),"")</f>
        <v>9.8589287424602574</v>
      </c>
      <c r="V148" s="21">
        <v>14328.62</v>
      </c>
      <c r="W148" s="20">
        <f>IFERROR(((V148/V27)*100),"")</f>
        <v>9.1345007877911044</v>
      </c>
      <c r="X148" s="7">
        <f>B148+D148+F148+H148+J148+L148+N148+P148+R148+T148+V148</f>
        <v>155110.75</v>
      </c>
      <c r="Y148" s="5">
        <f>IFERROR(((X148/X27)*100),"")</f>
        <v>9.2771863893286817</v>
      </c>
    </row>
    <row r="149" spans="1:25" outlineLevel="2" x14ac:dyDescent="0.2">
      <c r="A149" s="8" t="s">
        <v>142</v>
      </c>
      <c r="C149" s="5">
        <f>IFERROR(((B149/B27)*100),"")</f>
        <v>0</v>
      </c>
      <c r="E149" s="5">
        <f>IFERROR(((D149/D27)*100),"")</f>
        <v>0</v>
      </c>
      <c r="G149" s="5">
        <f>IFERROR(((F149/F27)*100),"")</f>
        <v>0</v>
      </c>
      <c r="I149" s="5">
        <f>IFERROR(((H149/H27)*100),"")</f>
        <v>0</v>
      </c>
      <c r="K149" s="5">
        <f>IFERROR(((J149/J27)*100),"")</f>
        <v>0</v>
      </c>
      <c r="M149" s="5">
        <f>IFERROR(((L149/L27)*100),"")</f>
        <v>0</v>
      </c>
      <c r="O149" s="5">
        <f>IFERROR(((N149/N27)*100),"")</f>
        <v>0</v>
      </c>
      <c r="Q149" s="5">
        <f>IFERROR(((P149/P27)*100),"")</f>
        <v>0</v>
      </c>
      <c r="S149" s="5">
        <f>IFERROR(((R149/R27)*100),"")</f>
        <v>0</v>
      </c>
      <c r="U149" s="5">
        <f>IFERROR(((T149/T27)*100),"")</f>
        <v>0</v>
      </c>
      <c r="W149" s="20">
        <f>IFERROR(((V149/V27)*100),"")</f>
        <v>0</v>
      </c>
      <c r="Y149" s="5">
        <f>IFERROR(((X149/X27)*100),"")</f>
        <v>0</v>
      </c>
    </row>
    <row r="150" spans="1:25" outlineLevel="3" x14ac:dyDescent="0.2">
      <c r="A150" s="14" t="s">
        <v>143</v>
      </c>
      <c r="B150" s="7">
        <v>2219.9499999999998</v>
      </c>
      <c r="C150" s="5">
        <f>IFERROR(((B150/B27)*100),"")</f>
        <v>1.3575220677214526</v>
      </c>
      <c r="D150" s="7">
        <v>2215.35</v>
      </c>
      <c r="E150" s="5">
        <f>IFERROR(((D150/D27)*100),"")</f>
        <v>1.5842936700554229</v>
      </c>
      <c r="F150" s="7">
        <v>2143.17</v>
      </c>
      <c r="G150" s="5">
        <f>IFERROR(((F150/F27)*100),"")</f>
        <v>1.3144871799825679</v>
      </c>
      <c r="H150" s="7">
        <v>2026.72</v>
      </c>
      <c r="I150" s="5">
        <f>IFERROR(((H150/H27)*100),"")</f>
        <v>1.2447007696285937</v>
      </c>
      <c r="J150" s="7">
        <v>2200.94</v>
      </c>
      <c r="K150" s="5">
        <f>IFERROR(((J150/J27)*100),"")</f>
        <v>1.3638170767193734</v>
      </c>
      <c r="L150" s="7">
        <v>2661.91</v>
      </c>
      <c r="M150" s="5">
        <f>IFERROR(((L150/L27)*100),"")</f>
        <v>1.7746710280692846</v>
      </c>
      <c r="N150" s="7">
        <v>2493.6999999999998</v>
      </c>
      <c r="O150" s="5">
        <f>IFERROR(((N150/N27)*100),"")</f>
        <v>1.7556093503428742</v>
      </c>
      <c r="P150" s="7">
        <v>2354.5500000000002</v>
      </c>
      <c r="Q150" s="5">
        <f>IFERROR(((P150/P27)*100),"")</f>
        <v>1.5254471839786941</v>
      </c>
      <c r="R150" s="7">
        <v>2193.5</v>
      </c>
      <c r="S150" s="5">
        <f>IFERROR(((R150/R27)*100),"")</f>
        <v>1.6522381744828292</v>
      </c>
      <c r="T150" s="7">
        <v>2025.84</v>
      </c>
      <c r="U150" s="5">
        <f>IFERROR(((T150/T27)*100),"")</f>
        <v>1.3938964257287643</v>
      </c>
      <c r="V150" s="21">
        <v>2100</v>
      </c>
      <c r="W150" s="20">
        <f>IFERROR(((V150/V27)*100),"")</f>
        <v>1.3387508116176796</v>
      </c>
      <c r="X150" s="7">
        <f t="shared" ref="X150:X157" si="8">B150+D150+F150+H150+J150+L150+N150+P150+R150+T150+V150</f>
        <v>24635.629999999997</v>
      </c>
      <c r="Y150" s="5">
        <f>IFERROR(((X150/X27)*100),"")</f>
        <v>1.4734590047984251</v>
      </c>
    </row>
    <row r="151" spans="1:25" outlineLevel="3" x14ac:dyDescent="0.2">
      <c r="A151" s="14" t="s">
        <v>144</v>
      </c>
      <c r="B151" s="7">
        <v>250.57</v>
      </c>
      <c r="C151" s="5">
        <f>IFERROR(((B151/B27)*100),"")</f>
        <v>0.15322611072725256</v>
      </c>
      <c r="D151" s="7">
        <v>250.27</v>
      </c>
      <c r="E151" s="5">
        <f>IFERROR(((D151/D27)*100),"")</f>
        <v>0.17897902218826403</v>
      </c>
      <c r="F151" s="7">
        <v>260.27</v>
      </c>
      <c r="G151" s="5">
        <f>IFERROR(((F151/F27)*100),"")</f>
        <v>0.15963343007510505</v>
      </c>
      <c r="H151" s="7">
        <v>260.27</v>
      </c>
      <c r="I151" s="5">
        <f>IFERROR(((H151/H27)*100),"")</f>
        <v>0.15984362384109993</v>
      </c>
      <c r="J151" s="7">
        <v>320.33999999999997</v>
      </c>
      <c r="K151" s="5">
        <f>IFERROR(((J151/J27)*100),"")</f>
        <v>0.19849935134818941</v>
      </c>
      <c r="L151" s="7">
        <v>320.33999999999997</v>
      </c>
      <c r="M151" s="5">
        <f>IFERROR(((L151/L27)*100),"")</f>
        <v>0.21356774539023279</v>
      </c>
      <c r="N151" s="7">
        <v>320.33999999999997</v>
      </c>
      <c r="O151" s="5">
        <f>IFERROR(((N151/N27)*100),"")</f>
        <v>0.22552508292450427</v>
      </c>
      <c r="P151" s="7">
        <v>344.63</v>
      </c>
      <c r="Q151" s="5">
        <f>IFERROR(((P151/P27)*100),"")</f>
        <v>0.22327615171246193</v>
      </c>
      <c r="R151" s="7">
        <v>326.45</v>
      </c>
      <c r="S151" s="5">
        <f>IFERROR(((R151/R27)*100),"")</f>
        <v>0.24589612585362183</v>
      </c>
      <c r="T151" s="7">
        <v>320.2</v>
      </c>
      <c r="U151" s="5">
        <f>IFERROR(((T151/T27)*100),"")</f>
        <v>0.22031633076568252</v>
      </c>
      <c r="V151" s="21">
        <v>320.66000000000003</v>
      </c>
      <c r="W151" s="20">
        <f>IFERROR(((V151/V27)*100),"")</f>
        <v>0.20442087393015484</v>
      </c>
      <c r="X151" s="7">
        <f t="shared" si="8"/>
        <v>3294.3399999999992</v>
      </c>
      <c r="Y151" s="5">
        <f>IFERROR(((X151/X27)*100),"")</f>
        <v>0.19703473943502328</v>
      </c>
    </row>
    <row r="152" spans="1:25" outlineLevel="3" x14ac:dyDescent="0.2">
      <c r="A152" s="14" t="s">
        <v>145</v>
      </c>
      <c r="B152" s="7">
        <v>369.4</v>
      </c>
      <c r="C152" s="5">
        <f>IFERROR(((B152/B27)*100),"")</f>
        <v>0.22589186775211359</v>
      </c>
      <c r="D152" s="7">
        <v>369.4</v>
      </c>
      <c r="E152" s="5">
        <f>IFERROR(((D152/D27)*100),"")</f>
        <v>0.26417409516260326</v>
      </c>
      <c r="F152" s="7">
        <v>369.4</v>
      </c>
      <c r="G152" s="5">
        <f>IFERROR(((F152/F27)*100),"")</f>
        <v>0.22656698455351676</v>
      </c>
      <c r="H152" s="7">
        <v>369.4</v>
      </c>
      <c r="I152" s="5">
        <f>IFERROR(((H152/H27)*100),"")</f>
        <v>0.22686531158759102</v>
      </c>
      <c r="J152" s="7">
        <v>442.45</v>
      </c>
      <c r="K152" s="5">
        <f>IFERROR(((J152/J27)*100),"")</f>
        <v>0.27416506837736909</v>
      </c>
      <c r="L152" s="7">
        <v>369.4</v>
      </c>
      <c r="M152" s="5">
        <f>IFERROR(((L152/L27)*100),"")</f>
        <v>0.24627559826169695</v>
      </c>
      <c r="N152" s="7">
        <v>369.4</v>
      </c>
      <c r="O152" s="5">
        <f>IFERROR(((N152/N27)*100),"")</f>
        <v>0.26006419938912367</v>
      </c>
      <c r="P152" s="7">
        <v>369.4</v>
      </c>
      <c r="Q152" s="5">
        <f>IFERROR(((P152/P27)*100),"")</f>
        <v>0.23932394290277526</v>
      </c>
      <c r="R152" s="7">
        <v>369.4</v>
      </c>
      <c r="S152" s="5">
        <f>IFERROR(((R152/R27)*100),"")</f>
        <v>0.27824790592840531</v>
      </c>
      <c r="T152" s="7">
        <v>369.4</v>
      </c>
      <c r="U152" s="5">
        <f>IFERROR(((T152/T27)*100),"")</f>
        <v>0.25416880882212095</v>
      </c>
      <c r="V152" s="21">
        <v>369.4</v>
      </c>
      <c r="W152" s="20">
        <f>IFERROR(((V152/V27)*100),"")</f>
        <v>0.23549264276741469</v>
      </c>
      <c r="X152" s="7">
        <f t="shared" si="8"/>
        <v>4136.45</v>
      </c>
      <c r="Y152" s="5">
        <f>IFERROR(((X152/X27)*100),"")</f>
        <v>0.24740140602852234</v>
      </c>
    </row>
    <row r="153" spans="1:25" outlineLevel="2" x14ac:dyDescent="0.2">
      <c r="A153" s="15" t="s">
        <v>146</v>
      </c>
      <c r="B153" s="10">
        <f>B149+B150+B151+B152</f>
        <v>2839.92</v>
      </c>
      <c r="C153" s="11">
        <f>IFERROR(((B153/B27)*100),"")</f>
        <v>1.7366400462008189</v>
      </c>
      <c r="D153" s="10">
        <f>D149+D150+D151+D152</f>
        <v>2835.02</v>
      </c>
      <c r="E153" s="11">
        <f>IFERROR(((D153/D27)*100),"")</f>
        <v>2.0274467874062903</v>
      </c>
      <c r="F153" s="10">
        <f>F149+F150+F151+F152</f>
        <v>2772.84</v>
      </c>
      <c r="G153" s="11">
        <f>IFERROR(((F153/F27)*100),"")</f>
        <v>1.7006875946111899</v>
      </c>
      <c r="H153" s="10">
        <f>H149+H150+H151+H152</f>
        <v>2656.39</v>
      </c>
      <c r="I153" s="11">
        <f>IFERROR(((H153/H27)*100),"")</f>
        <v>1.6314097050572844</v>
      </c>
      <c r="J153" s="10">
        <f>J149+J150+J151+J152</f>
        <v>2963.73</v>
      </c>
      <c r="K153" s="11">
        <f>IFERROR(((J153/J27)*100),"")</f>
        <v>1.8364814964449319</v>
      </c>
      <c r="L153" s="10">
        <f>L149+L150+L151+L152</f>
        <v>3351.65</v>
      </c>
      <c r="M153" s="11">
        <f>IFERROR(((L153/L27)*100),"")</f>
        <v>2.2345143717212146</v>
      </c>
      <c r="N153" s="10">
        <f>N149+N150+N151+N152</f>
        <v>3183.44</v>
      </c>
      <c r="O153" s="11">
        <f>IFERROR(((N153/N27)*100),"")</f>
        <v>2.2411986326565025</v>
      </c>
      <c r="P153" s="10">
        <f>P149+P150+P151+P152</f>
        <v>3068.5800000000004</v>
      </c>
      <c r="Q153" s="11">
        <f>IFERROR(((P153/P27)*100),"")</f>
        <v>1.9880472785939314</v>
      </c>
      <c r="R153" s="10">
        <f>R149+R150+R151+R152</f>
        <v>2889.35</v>
      </c>
      <c r="S153" s="11">
        <f>IFERROR(((R153/R27)*100),"")</f>
        <v>2.1763822062648561</v>
      </c>
      <c r="T153" s="10">
        <f>T149+T150+T151+T152</f>
        <v>2715.44</v>
      </c>
      <c r="U153" s="11">
        <f>IFERROR(((T153/T27)*100),"")</f>
        <v>1.8683815653165676</v>
      </c>
      <c r="V153" s="22">
        <f>V149+V150+V151+V152</f>
        <v>2790.06</v>
      </c>
      <c r="W153" s="23">
        <f>IFERROR(((V153/V27)*100),"")</f>
        <v>1.7786643283152492</v>
      </c>
      <c r="X153" s="12">
        <f t="shared" si="8"/>
        <v>32066.42</v>
      </c>
      <c r="Y153" s="11">
        <f>IFERROR(((X153/X27)*100),"")</f>
        <v>1.917895150261971</v>
      </c>
    </row>
    <row r="154" spans="1:25" outlineLevel="1" x14ac:dyDescent="0.2">
      <c r="A154" s="9" t="s">
        <v>147</v>
      </c>
      <c r="B154" s="10">
        <f>B146+B147+B148+B153</f>
        <v>16966.61</v>
      </c>
      <c r="C154" s="11">
        <f>IFERROR(((B154/B27)*100),"")</f>
        <v>10.375255068548155</v>
      </c>
      <c r="D154" s="10">
        <f>D146+D147+D148+D153</f>
        <v>16961.71</v>
      </c>
      <c r="E154" s="11">
        <f>IFERROR(((D154/D27)*100),"")</f>
        <v>12.130060616297996</v>
      </c>
      <c r="F154" s="10">
        <f>F146+F147+F148+F153</f>
        <v>16899.53</v>
      </c>
      <c r="G154" s="11">
        <f>IFERROR(((F154/F27)*100),"")</f>
        <v>10.365120607665656</v>
      </c>
      <c r="H154" s="10">
        <f>H146+H147+H148+H153</f>
        <v>16783.080000000002</v>
      </c>
      <c r="I154" s="11">
        <f>IFERROR(((H154/H27)*100),"")</f>
        <v>10.307251417432235</v>
      </c>
      <c r="J154" s="10">
        <f>J146+J147+J148+J153</f>
        <v>17090.420000000002</v>
      </c>
      <c r="K154" s="11">
        <f>IFERROR(((J154/J27)*100),"")</f>
        <v>10.590114516663933</v>
      </c>
      <c r="L154" s="10">
        <f>L146+L147+L148+L153</f>
        <v>17478.310000000001</v>
      </c>
      <c r="M154" s="11">
        <f>IFERROR(((L154/L27)*100),"")</f>
        <v>11.652629268688147</v>
      </c>
      <c r="N154" s="10">
        <f>N146+N147+N148+N153</f>
        <v>17882.63</v>
      </c>
      <c r="O154" s="11">
        <f>IFERROR(((N154/N27)*100),"")</f>
        <v>12.589690995998716</v>
      </c>
      <c r="P154" s="10">
        <f>P146+P147+P148+P153</f>
        <v>17767.77</v>
      </c>
      <c r="Q154" s="11">
        <f>IFERROR(((P154/P27)*100),"")</f>
        <v>11.511241940957346</v>
      </c>
      <c r="R154" s="10">
        <f>R146+R147+R148+R153</f>
        <v>17588.54</v>
      </c>
      <c r="S154" s="11">
        <f>IFERROR(((R154/R27)*100),"")</f>
        <v>13.248441860687588</v>
      </c>
      <c r="T154" s="10">
        <f>T146+T147+T148+T153</f>
        <v>17414.63</v>
      </c>
      <c r="U154" s="11">
        <f>IFERROR(((T154/T27)*100),"")</f>
        <v>11.982284145040531</v>
      </c>
      <c r="V154" s="22">
        <f>V146+V147+V148+V153</f>
        <v>17489.25</v>
      </c>
      <c r="W154" s="23">
        <f>IFERROR(((V154/V27)*100),"")</f>
        <v>11.149403634325953</v>
      </c>
      <c r="X154" s="12">
        <f t="shared" si="8"/>
        <v>190322.48</v>
      </c>
      <c r="Y154" s="11">
        <f>IFERROR(((X154/X27)*100),"")</f>
        <v>11.383202782781208</v>
      </c>
    </row>
    <row r="155" spans="1:25" outlineLevel="1" x14ac:dyDescent="0.2">
      <c r="A155" s="6" t="s">
        <v>148</v>
      </c>
      <c r="C155" s="5">
        <f>IFERROR(((B155/B27)*100),"")</f>
        <v>0</v>
      </c>
      <c r="E155" s="5">
        <f>IFERROR(((D155/D27)*100),"")</f>
        <v>0</v>
      </c>
      <c r="G155" s="5">
        <f>IFERROR(((F155/F27)*100),"")</f>
        <v>0</v>
      </c>
      <c r="I155" s="5">
        <f>IFERROR(((H155/H27)*100),"")</f>
        <v>0</v>
      </c>
      <c r="K155" s="5">
        <f>IFERROR(((J155/J27)*100),"")</f>
        <v>0</v>
      </c>
      <c r="M155" s="5">
        <f>IFERROR(((L155/L27)*100),"")</f>
        <v>0</v>
      </c>
      <c r="N155" s="7">
        <v>0</v>
      </c>
      <c r="O155" s="5">
        <f>IFERROR(((N155/N27)*100),"")</f>
        <v>0</v>
      </c>
      <c r="Q155" s="5">
        <f>IFERROR(((P155/P27)*100),"")</f>
        <v>0</v>
      </c>
      <c r="S155" s="5">
        <f>IFERROR(((R155/R27)*100),"")</f>
        <v>0</v>
      </c>
      <c r="U155" s="5">
        <f>IFERROR(((T155/T27)*100),"")</f>
        <v>0</v>
      </c>
      <c r="W155" s="20">
        <f>IFERROR(((V155/V27)*100),"")</f>
        <v>0</v>
      </c>
      <c r="X155" s="7">
        <f t="shared" si="8"/>
        <v>0</v>
      </c>
      <c r="Y155" s="5">
        <f>IFERROR(((X155/X27)*100),"")</f>
        <v>0</v>
      </c>
    </row>
    <row r="156" spans="1:25" x14ac:dyDescent="0.2">
      <c r="A156" s="13" t="s">
        <v>149</v>
      </c>
      <c r="B156" s="10">
        <f>B63+B116+B145+B154+B155</f>
        <v>72769.47</v>
      </c>
      <c r="C156" s="11">
        <f>IFERROR(((B156/B27)*100),"")</f>
        <v>44.499273128401192</v>
      </c>
      <c r="D156" s="10">
        <f>D63+D116+D145+D154+D155</f>
        <v>59635.68</v>
      </c>
      <c r="E156" s="11">
        <f>IFERROR(((D156/D27)*100),"")</f>
        <v>42.648082846254894</v>
      </c>
      <c r="F156" s="10">
        <f>F63+F116+F145+F154+F155</f>
        <v>66872.48000000001</v>
      </c>
      <c r="G156" s="11">
        <f>IFERROR(((F156/F27)*100),"")</f>
        <v>41.015419987047544</v>
      </c>
      <c r="H156" s="10">
        <f>H63+H116+H145+H154+H155</f>
        <v>70798.540000000008</v>
      </c>
      <c r="I156" s="11">
        <f>IFERROR(((H156/H27)*100),"")</f>
        <v>43.480597826330616</v>
      </c>
      <c r="J156" s="10">
        <f>J63+J116+J145+J154+J155</f>
        <v>66874.510000000009</v>
      </c>
      <c r="K156" s="11">
        <f>IFERROR(((J156/J27)*100),"")</f>
        <v>41.438930064081944</v>
      </c>
      <c r="L156" s="10">
        <f>L63+L116+L145+L154+L155</f>
        <v>61525.05</v>
      </c>
      <c r="M156" s="11">
        <f>IFERROR(((L156/L27)*100),"")</f>
        <v>41.018187592936705</v>
      </c>
      <c r="N156" s="10">
        <f>N63+N116+N145+N154+N155</f>
        <v>65571.33</v>
      </c>
      <c r="O156" s="11">
        <f>IFERROR(((N156/N27)*100),"")</f>
        <v>46.163387762127847</v>
      </c>
      <c r="P156" s="10">
        <f>P63+P116+P145+P154+P155</f>
        <v>68657.98000000001</v>
      </c>
      <c r="Q156" s="11">
        <f>IFERROR(((P156/P27)*100),"")</f>
        <v>44.481587670113399</v>
      </c>
      <c r="R156" s="10">
        <f>R63+R116+R145+R154+R155</f>
        <v>61169.3</v>
      </c>
      <c r="S156" s="11">
        <f>IFERROR(((R156/R27)*100),"")</f>
        <v>46.075337390650802</v>
      </c>
      <c r="T156" s="10">
        <f>T63+T116+T145+T154+T155</f>
        <v>74206.02</v>
      </c>
      <c r="U156" s="11">
        <f>IFERROR(((T156/T27)*100),"")</f>
        <v>51.058082595642894</v>
      </c>
      <c r="V156" s="22">
        <f>V63+V116+V145+V154+V155</f>
        <v>68670.39</v>
      </c>
      <c r="W156" s="23">
        <f>IFERROR(((V156/V27)*100),"")</f>
        <v>43.777400165048853</v>
      </c>
      <c r="X156" s="12">
        <f t="shared" si="8"/>
        <v>736750.75000000012</v>
      </c>
      <c r="Y156" s="11">
        <f>IFERROR(((X156/X27)*100),"")</f>
        <v>44.065121406657489</v>
      </c>
    </row>
    <row r="157" spans="1:25" x14ac:dyDescent="0.2">
      <c r="A157" s="47" t="s">
        <v>150</v>
      </c>
      <c r="B157" s="48">
        <f>B49-B156</f>
        <v>26084.789999999979</v>
      </c>
      <c r="C157" s="49">
        <f>IFERROR(((B157/B27)*100),"")</f>
        <v>15.951115140827424</v>
      </c>
      <c r="D157" s="48">
        <f>D49-D156</f>
        <v>23052.929999999986</v>
      </c>
      <c r="E157" s="49">
        <f>IFERROR(((D157/D27)*100),"")</f>
        <v>16.48615842879488</v>
      </c>
      <c r="F157" s="48">
        <f>F49-F156</f>
        <v>37284.339999999967</v>
      </c>
      <c r="G157" s="49">
        <f>IFERROR(((F157/F27)*100),"")</f>
        <v>22.867895194553494</v>
      </c>
      <c r="H157" s="48">
        <f>H49-H156</f>
        <v>29277.12000000001</v>
      </c>
      <c r="I157" s="49">
        <f>IFERROR(((H157/H27)*100),"")</f>
        <v>17.980408638839457</v>
      </c>
      <c r="J157" s="48">
        <f>J49-J156</f>
        <v>35303.070000000007</v>
      </c>
      <c r="K157" s="49">
        <f>IFERROR(((J157/J27)*100),"")</f>
        <v>21.875621201222849</v>
      </c>
      <c r="L157" s="48">
        <f>L49-L156</f>
        <v>29003.789999999994</v>
      </c>
      <c r="M157" s="49">
        <f>IFERROR(((L157/L27)*100),"")</f>
        <v>19.336561272622149</v>
      </c>
      <c r="N157" s="48">
        <f>N49-N156</f>
        <v>16402.059999999998</v>
      </c>
      <c r="O157" s="49">
        <f>IFERROR(((N157/N27)*100),"")</f>
        <v>11.5473432653827</v>
      </c>
      <c r="P157" s="48">
        <f>P49-P156</f>
        <v>28199.139999999985</v>
      </c>
      <c r="Q157" s="49">
        <f>IFERROR(((P157/P27)*100),"")</f>
        <v>18.269435222705368</v>
      </c>
      <c r="R157" s="48">
        <f>R49-R156</f>
        <v>19053.869999999995</v>
      </c>
      <c r="S157" s="49">
        <f>IFERROR(((R157/R27)*100),"")</f>
        <v>14.352191194726755</v>
      </c>
      <c r="T157" s="48">
        <f>T49-T156</f>
        <v>5543.589999999982</v>
      </c>
      <c r="U157" s="49">
        <f>IFERROR(((T157/T27)*100),"")</f>
        <v>3.8143142038392446</v>
      </c>
      <c r="V157" s="50">
        <f>V49-V156</f>
        <v>31832.649999999994</v>
      </c>
      <c r="W157" s="51">
        <f>IFERROR(((V157/V27)*100),"")</f>
        <v>20.293326677829295</v>
      </c>
      <c r="X157" s="52">
        <f t="shared" si="8"/>
        <v>281037.34999999986</v>
      </c>
      <c r="Y157" s="49">
        <f>IFERROR(((X157/X27)*100),"")</f>
        <v>16.808866428103787</v>
      </c>
    </row>
  </sheetData>
  <mergeCells count="15">
    <mergeCell ref="A1:Y1"/>
    <mergeCell ref="A2:Y2"/>
    <mergeCell ref="A3:Y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ageMargins left="0.25" right="0.25" top="0.5" bottom="0.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Tai W.</cp:lastModifiedBy>
  <cp:lastPrinted>2025-12-19T19:00:12Z</cp:lastPrinted>
  <dcterms:created xsi:type="dcterms:W3CDTF">2022-03-24T08:55:57Z</dcterms:created>
  <dcterms:modified xsi:type="dcterms:W3CDTF">2025-12-19T19:00:13Z</dcterms:modified>
  <cp:category/>
</cp:coreProperties>
</file>